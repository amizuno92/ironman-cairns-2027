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Weekly Summary" sheetId="2" state="visible" r:id="rId4"/>
    <sheet name="Calendar" sheetId="3" state="visible" r:id="rId5"/>
    <sheet name="Zones" sheetId="4" state="visible" r:id="rId6"/>
    <sheet name="Sub-11" sheetId="5" state="visible" r:id="rId7"/>
    <sheet name="Strength" sheetId="6" state="visible" r:id="rId8"/>
    <sheet name="Race Day" sheetId="7" state="visible" r:id="rId9"/>
  </sheets>
  <definedNames>
    <definedName function="false" hidden="true" localSheetId="2" name="_xlnm._FilterDatabase" vbProcedure="false">Calendar!$A$1:$P$426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<sst xmlns="http://schemas.openxmlformats.org/spreadsheetml/2006/main" count="4072" uniqueCount="613">
  <si>
    <t xml:space="preserve">IRONMAN Cairns 2027 — 35-week plan (Andrew)</t>
  </si>
  <si>
    <t xml:space="preserve">12 Oct 2026 → 13 Jun 2027 · 80/20 polarized · built 11 Oct 2026</t>
  </si>
  <si>
    <t xml:space="preserve">Key dates</t>
  </si>
  <si>
    <t xml:space="preserve">Wed–Fri 21–23 Oct 2026</t>
  </si>
  <si>
    <t xml:space="preserve">Wedding week (Fri 23 Oct). Train Mon–Thu, Fri–Sat off, easy ride Sun 25 Oct.</t>
  </si>
  <si>
    <t xml:space="preserve">Mon 26 Oct 2026</t>
  </si>
  <si>
    <t xml:space="preserve">Running returns: walk-run stage 1 (you passed 30 pain-free hops).</t>
  </si>
  <si>
    <t xml:space="preserve">Week 14 (11–17 Jan)</t>
  </si>
  <si>
    <t xml:space="preserve">Checkpoint: tibia + London go/no-go; FTP &amp; CSS retests.</t>
  </si>
  <si>
    <t xml:space="preserve">Sun 21 Mar 2027</t>
  </si>
  <si>
    <t xml:space="preserve">Gold Coast T100, 100km distance (2km / 80km / 18km). Your first triathlon and the half-distance tune-up.</t>
  </si>
  <si>
    <t xml:space="preserve">Sun 25 Apr 2027</t>
  </si>
  <si>
    <t xml:space="preserve">London Marathon at Z2 (HR ≤149). Fly Wed 21 Apr; no road bike until Mon 10 May.</t>
  </si>
  <si>
    <t xml:space="preserve">Sun 13 Jun 2027</t>
  </si>
  <si>
    <t xml:space="preserve">IRONMAN Cairns 🏁</t>
  </si>
  <si>
    <t xml:space="preserve">Goal: sub-11</t>
  </si>
  <si>
    <t xml:space="preserve">Target</t>
  </si>
  <si>
    <t xml:space="preserve">~10:55: swim 1:05 · T1/T2 10' · bike 5:30 · run 4:10. Realistic today: ~11:30–12:15.</t>
  </si>
  <si>
    <t xml:space="preserve">What changes</t>
  </si>
  <si>
    <t xml:space="preserve">Volume stays the same (it's already near your 20h cap, and the tibia limits running). From week 15, IM power on long rides and Thursday blocks rises from 66–71% to 70–75% FTP. Every bike target scales with FTP, so retests raise them automatically.</t>
  </si>
  <si>
    <t xml:space="preserve">Biggest levers</t>
  </si>
  <si>
    <t xml:space="preserve">FTP to ~265–275W, a fitted TT bike by ~January with long rides in aero, and 90–100 g carbs/h on the bike.</t>
  </si>
  <si>
    <t xml:space="preserve">Decision</t>
  </si>
  <si>
    <t xml:space="preserve">Final race goal is set after the T100 test (21 Mar). Track FTP checkpoints on the Sub-11 tab.</t>
  </si>
  <si>
    <t xml:space="preserve">Recommendations (your Q3 &amp; Q10)</t>
  </si>
  <si>
    <t xml:space="preserve">Lead-up races</t>
  </si>
  <si>
    <t xml:space="preserve">Yes, race once. Do the Gold Coast T100 100km race on Sun 21 Mar. It's at home, 12 weeks before Cairns, and the only chance to rehearse open-water mass starts, transitions and race fuelling. Race it controlled (see Calendar wk 23), not flat out, because London is 5 weeks later. If the wk-14 tibia check isn't clean, enter the Olympic distance on Sat 20 Mar instead. Optional: a local sprint in February for transition practice. Skip a separate 70.3: Geelong is on the same weekend as the T100.</t>
  </si>
  <si>
    <t xml:space="preserve">London block (21 Apr–9 May)</t>
  </si>
  <si>
    <t xml:space="preserve">Last ride Tue 20 Apr; the last long ride is Sat 17 Apr. In London, swim 3–4×/wk and lift 2×/wk. Use the gym's spin bike or Wattbike by heart rate (wks 29–30): it keeps your cycling legs and costs nothing. Marathon recovery: no running for 5 days, first run only if pain-free hopping. You return with ~5 weeks to Cairns, which is enough for a 2-week IM-specific block, a last big weekend and a 2-week taper.</t>
  </si>
  <si>
    <t xml:space="preserve">How the plan works</t>
  </si>
  <si>
    <t xml:space="preserve">Periodisation</t>
  </si>
  <si>
    <t xml:space="preserve">Transition (wks 1–2) → Base 1–3 (3–13) → Build 1–3 (15–27) → London (28–30) → Peak (31–33) → Taper (34–35). There's a recovery or test week roughly every 4th week: wks 6, 10, 14, 18, 22, 24.</t>
  </si>
  <si>
    <t xml:space="preserve">10% rule</t>
  </si>
  <si>
    <t xml:space="preserve">No 'load' week's total hours go up more than 10% on the previous load week. Run km follow the same cap once continuous running is established (wk 9). Recovery, race and taper weeks are lower by design, so the first load week after one is compared with the last load week before it. Walk-run weeks 3–8 follow a return-to-run protocol instead, because 10% of zero is nothing. Weekly Summary shows the % change for every load week.</t>
  </si>
  <si>
    <t xml:space="preserve">80/20</t>
  </si>
  <si>
    <t xml:space="preserve">Most time is Z1–Z2. Hard work is Z4+ (bike VO2 and threshold, CSS swims, cruise intervals) with almost nothing in Z3. At this training age, time above Z2 sits at about 10% of training time; IM-power work sits at the top of Z2 power. Weekly Summary shows the high-intensity % for each week.</t>
  </si>
  <si>
    <t xml:space="preserve">Week shape</t>
  </si>
  <si>
    <t xml:space="preserve">Mon swim (or easy spin in open-water weeks) + easy run · Tue bike intervals, then Strength A later (hard day) · Wed CSS swim + run quality · Thu endurance bike + run · Fri long swim + Strength B · Sat long ride + brick · Sun long run + easy spin or open-water swim. Max 3 swims a week. Swims at midday; bikes and solo runs in the morning; on bike days the run is in the evening; gym in the evening (see the Calendar's When column). Weekdays ≤2h, two sessions on most days.</t>
  </si>
  <si>
    <t xml:space="preserve">Tibia rules</t>
  </si>
  <si>
    <t xml:space="preserve">Pain ≤2/10 during a run and nothing the next morning. If either fails, stop, take 2 days off and drop back one stage. Run on flat, soft surfaces at a slightly higher cadence, and use the soleus, tibialis and hop work in Strength A (bone loading). Run intensity only starts in wk 16, and only if the wk-14 checkpoint is clean. Any focal, pinpoint bone pain means seeing a sports doctor.</t>
  </si>
  <si>
    <t xml:space="preserve">Bike</t>
  </si>
  <si>
    <t xml:space="preserve">Zwift until your helmet, computer and Varia arrive. Then move the long rides outdoors at the same power. Practise the TT position as soon as the TT bike arrives (fit first).</t>
  </si>
  <si>
    <t xml:space="preserve">Swim</t>
  </si>
  <si>
    <t xml:space="preserve">50m pool, so every rep is ≥50m and Apple Watch counts correctly. Open water starts in wk 17: buy the wetsuit by early February and do some non-wetsuit swims too.</t>
  </si>
  <si>
    <t xml:space="preserve">Nutrition</t>
  </si>
  <si>
    <t xml:space="preserve">Gut training. Long rides go 60→100 g carbs/h over the season (you've already managed 90 g/h running). Long runs 60–90 g/h. Sodium 500–1000 mg/h depending on sweat. Rehearse your exact race products at the T100 and London.</t>
  </si>
  <si>
    <t xml:space="preserve">Heat</t>
  </si>
  <si>
    <t xml:space="preserve">Cairns is warm and humid. Heat sessions start in wk 31: Zwift rides with no fan or an extra layer.</t>
  </si>
  <si>
    <t xml:space="preserve">Retests</t>
  </si>
  <si>
    <t xml:space="preserve">CSS: wks 6, 14, 18. FTP ramp: wks 6, 14, 22. After a test, update the yellow cells on the Zones tab. Calendar watt targets assume FTP 242W; scale them by your new FTP ÷ 242.</t>
  </si>
  <si>
    <t xml:space="preserve">Logging</t>
  </si>
  <si>
    <t xml:space="preserve">Tick the 'Done' column on the Calendar. Log FTP changes in Strava as 'FTP SET: [W]'.</t>
  </si>
  <si>
    <t xml:space="preserve">Week</t>
  </si>
  <si>
    <t xml:space="preserve">Week starts</t>
  </si>
  <si>
    <t xml:space="preserve">Phase</t>
  </si>
  <si>
    <t xml:space="preserve">Week type</t>
  </si>
  <si>
    <t xml:space="preserve">Focus</t>
  </si>
  <si>
    <t xml:space="preserve">Total h</t>
  </si>
  <si>
    <t xml:space="preserve">Swim h</t>
  </si>
  <si>
    <t xml:space="preserve">Bike h</t>
  </si>
  <si>
    <t xml:space="preserve">Run h</t>
  </si>
  <si>
    <t xml:space="preserve">Strength h</t>
  </si>
  <si>
    <t xml:space="preserve">Race h</t>
  </si>
  <si>
    <t xml:space="preserve">Swim km</t>
  </si>
  <si>
    <t xml:space="preserve">Run km</t>
  </si>
  <si>
    <t xml:space="preserve">Δ hours vs prev load wk</t>
  </si>
  <si>
    <t xml:space="preserve">Δ run km vs prev load wk</t>
  </si>
  <si>
    <t xml:space="preserve">High-intensity % (Z4+)</t>
  </si>
  <si>
    <t xml:space="preserve">Transition</t>
  </si>
  <si>
    <t xml:space="preserve">load</t>
  </si>
  <si>
    <t xml:space="preserve">Post-holiday rebuild; swim &amp; bike only (tibia still healing).</t>
  </si>
  <si>
    <t xml:space="preserve">—</t>
  </si>
  <si>
    <t xml:space="preserve">reduced</t>
  </si>
  <si>
    <t xml:space="preserve">Wedding week — light &amp; fresh. Fri–Sat off; easy ride Sun.</t>
  </si>
  <si>
    <t xml:space="preserve">Base 1</t>
  </si>
  <si>
    <t xml:space="preserve">Run returns (walk-run stage 1, alternate days). Aerobic swim/bike base, VO2 touch on the bike.</t>
  </si>
  <si>
    <t xml:space="preserve">Walk-run stage 2.</t>
  </si>
  <si>
    <t xml:space="preserve">Walk-run stage 3. Biggest base-1 week.</t>
  </si>
  <si>
    <t xml:space="preserve">recovery</t>
  </si>
  <si>
    <t xml:space="preserve">Recovery + tests (CSS Wed, FTP ramp Sat). Hold walk-run stage 3.</t>
  </si>
  <si>
    <t xml:space="preserve">Base 2</t>
  </si>
  <si>
    <t xml:space="preserve">Walk-run stage 4, then continuous running next week.</t>
  </si>
  <si>
    <t xml:space="preserve">First continuous runs (25–30'). Long ride 2h45.</t>
  </si>
  <si>
    <t xml:space="preserve">Continuous running established (4 runs incl. first brick). Run volume now capped at +10%/wk.</t>
  </si>
  <si>
    <t xml:space="preserve">Recovery week (~70%).</t>
  </si>
  <si>
    <t xml:space="preserve">Base 3</t>
  </si>
  <si>
    <t xml:space="preserve">Christmas week — Fri is optional/easy. Threshold work begins on the bike.</t>
  </si>
  <si>
    <t xml:space="preserve">Strides added. Long ride 3h15.</t>
  </si>
  <si>
    <t xml:space="preserve">Biggest base week.</t>
  </si>
  <si>
    <t xml:space="preserve">Recovery + tests. CHECKPOINT: tibia symptom-free on all runs since wk 8? If yes → London stays on &amp; run intensity unlocks from wk 16. If not → see a sports doctor; drop London to the Olympic/T100 plan only.</t>
  </si>
  <si>
    <t xml:space="preserve">Build 1</t>
  </si>
  <si>
    <t xml:space="preserve">Build begins: threshold bike, IM-power blocks on long rides, open water from wk 17.</t>
  </si>
  <si>
    <t xml:space="preserve">First run quality (cruise intervals) — only if wk 14 checkpoint passed.</t>
  </si>
  <si>
    <t xml:space="preserve">Open-water swims start Sundays. Get the wetsuit before this week.</t>
  </si>
  <si>
    <t xml:space="preserve">Recovery + CSS retest.</t>
  </si>
  <si>
    <t xml:space="preserve">Build 2</t>
  </si>
  <si>
    <t xml:space="preserve">Optional: a local sprint tri on Sun 21 Feb for transition practice (swap for Sun long run).</t>
  </si>
  <si>
    <t xml:space="preserve">Long ride 5h.</t>
  </si>
  <si>
    <t xml:space="preserve">Peak build week before T100.</t>
  </si>
  <si>
    <t xml:space="preserve">Recovery + FTP retest. Set T100 race targets from new FTP.</t>
  </si>
  <si>
    <t xml:space="preserve">Race: T100</t>
  </si>
  <si>
    <t xml:space="preserve">race</t>
  </si>
  <si>
    <t xml:space="preserve">Gold Coast T100 (2km/80km/18km) Sun 21 Mar — controlled IM-rehearsal effort, not all-out (London in 5 weeks).</t>
  </si>
  <si>
    <t xml:space="preserve">Build 3</t>
  </si>
  <si>
    <t xml:space="preserve">Post-race recovery; rebuild by Saturday.</t>
  </si>
  <si>
    <t xml:space="preserve">Big block: London long run + IM long ride.</t>
  </si>
  <si>
    <t xml:space="preserve">Peak pre-London week: 6h ride + 27.5km long run (Z2).</t>
  </si>
  <si>
    <t xml:space="preserve">London mini-taper (run −30%); last long ride before the 19-day bike gap.</t>
  </si>
  <si>
    <t xml:space="preserve">London</t>
  </si>
  <si>
    <t xml:space="preserve">London Marathon Sun 25 Apr at Z2. Fly Wed 21 Apr (last ride Tue).</t>
  </si>
  <si>
    <t xml:space="preserve">Post-marathon recovery in London. No running Mon–Fri; no road bike.</t>
  </si>
  <si>
    <t xml:space="preserve">Rebuild in London: swim, run, gym — gym bike / Wattbike if available (by HR).</t>
  </si>
  <si>
    <t xml:space="preserve">Peak</t>
  </si>
  <si>
    <t xml:space="preserve">Back on the bike — IM-specific block. Heat acclimation starts (Thu).</t>
  </si>
  <si>
    <t xml:space="preserve">Biggest IM-specific week: 5h15 ride (3.5h @ IM power) + 45' brick; 3.8km continuous swim.</t>
  </si>
  <si>
    <t xml:space="preserve">Last big weekend (2 weeks out), then taper begins.</t>
  </si>
  <si>
    <t xml:space="preserve">Taper</t>
  </si>
  <si>
    <t xml:space="preserve">taper</t>
  </si>
  <si>
    <t xml:space="preserve">Taper (~60%): keep intensity, cut volume. Last strength session Mon.</t>
  </si>
  <si>
    <t xml:space="preserve">Race week — travel to Cairns, sleep, carb-load Fri–Sat (8–10 g/kg ≈ 640–800 g/day).</t>
  </si>
  <si>
    <t xml:space="preserve">Δ columns only apply to 'load' weeks and compare with the previous load week; red would flag &gt;10%. Run-km cap applies from week 9, once continuous running is established. Totals are live SUMIFS from the Calendar, so editing a session updates this table.</t>
  </si>
  <si>
    <t xml:space="preserve">Date</t>
  </si>
  <si>
    <t xml:space="preserve">Day</t>
  </si>
  <si>
    <t xml:space="preserve">Sport</t>
  </si>
  <si>
    <t xml:space="preserve">Session</t>
  </si>
  <si>
    <t xml:space="preserve">Duration (min)</t>
  </si>
  <si>
    <t xml:space="preserve">Distance (km)</t>
  </si>
  <si>
    <t xml:space="preserve">Main set / details</t>
  </si>
  <si>
    <t xml:space="preserve">Target zone (HR / Power / Pace)</t>
  </si>
  <si>
    <t xml:space="preserve">RPE</t>
  </si>
  <si>
    <t xml:space="preserve">Fuel</t>
  </si>
  <si>
    <t xml:space="preserve">High-intensity min (Z4+)</t>
  </si>
  <si>
    <t xml:space="preserve">Done</t>
  </si>
  <si>
    <t xml:space="preserve">Notes</t>
  </si>
  <si>
    <t xml:space="preserve">When</t>
  </si>
  <si>
    <t xml:space="preserve">Mon</t>
  </si>
  <si>
    <t xml:space="preserve">Aerobic endurance</t>
  </si>
  <si>
    <t xml:space="preserve">WU 300 easy + 4×50 build /15s. MS 4×400 @ 1:42–1:48/100m, 20s rest (every 2nd rep with pull buoy) + 200 steady pull. CD 200 easy. All reps ≥50m (Watch-safe).</t>
  </si>
  <si>
    <t xml:space="preserve">Z2 1:42–1:48/100m (IM pace 1:44) · RPE 3–4</t>
  </si>
  <si>
    <t xml:space="preserve">3–4</t>
  </si>
  <si>
    <t xml:space="preserve">Midday</t>
  </si>
  <si>
    <t xml:space="preserve">Tue</t>
  </si>
  <si>
    <t xml:space="preserve">Intervals — Z5 VO2max</t>
  </si>
  <si>
    <t xml:space="preserve">Zwift structured. WU 15' Z1→Z2 incl. 3×30s @ 100+rpm. MS 4×3' @ 254–271W (105–112% FTP) /3' easy. Remaining time Z2 (150–170W). CD 5–10' easy. Cadence 85–100 on efforts.</t>
  </si>
  <si>
    <t xml:space="preserve">Z5 VO2max: 254–271W (105–112% FTP) · easy between Z1 &lt;133W (&lt;55%) · HR &lt;130 · RPE 1–2</t>
  </si>
  <si>
    <t xml:space="preserve">8–9</t>
  </si>
  <si>
    <t xml:space="preserve">Water/electrolytes only</t>
  </si>
  <si>
    <t xml:space="preserve">AM</t>
  </si>
  <si>
    <t xml:space="preserve">Strength</t>
  </si>
  <si>
    <t xml:space="preserve">Strength A — base</t>
  </si>
  <si>
    <t xml:space="preserve">Do this AFTER the bike intervals — ideally 6h+ later (bike AM, gym PM). Lower — max strength &amp; bone loading: back squat or trap-bar DL 4×6, Bulgarian split squat 3×8/leg, seated soleus raise 3×12 heavy, single-leg calf raise 3×15, tibialis raise 3×15, pogo hops 3×20 (progress to single-leg hops from wk 8), Copenhagen plank 3×20s. See Strength tab.</t>
  </si>
  <si>
    <t xml:space="preserve">RPE 7–8 on main lifts, 1–3 reps in reserve</t>
  </si>
  <si>
    <t xml:space="preserve">7–8</t>
  </si>
  <si>
    <t xml:space="preserve">PM</t>
  </si>
  <si>
    <t xml:space="preserve">Wed</t>
  </si>
  <si>
    <t xml:space="preserve">CSS / threshold</t>
  </si>
  <si>
    <t xml:space="preserve">WU 400 + 4×50 build /15s. MS 14×100 @ CSS 1:32–1:36 /15s + 4×50 @ ≤1:30 /20s. CD 200 easy (+200 pull if time).</t>
  </si>
  <si>
    <t xml:space="preserve">Z4 CSS 1:32–1:36/100m · RPE 7; 50s Z5 ≤1:30/100m · RPE 8–9</t>
  </si>
  <si>
    <t xml:space="preserve">Thu</t>
  </si>
  <si>
    <t xml:space="preserve">Endurance ride</t>
  </si>
  <si>
    <t xml:space="preserve">Zwift endurance. 10' WU 120→150W, 45' steady @ 150–175W, cadence 85–95, 5' easy.</t>
  </si>
  <si>
    <t xml:space="preserve">Z2 150–175W (62–72%) · HR 130–143 · RPE 3–4</t>
  </si>
  <si>
    <t xml:space="preserve">Strength B — base</t>
  </si>
  <si>
    <t xml:space="preserve">Posterior chain + upper: Romanian DL 3×8, hip thrust 3×10, step-ups 3×8/leg, pull-ups 4×6, push-ups or DB press 3×10, single-arm row 3×10, Pallof press 3×10, dead bug 3×10. See Strength tab.</t>
  </si>
  <si>
    <t xml:space="preserve">Fri</t>
  </si>
  <si>
    <t xml:space="preserve">Long aerobic swim</t>
  </si>
  <si>
    <t xml:space="preserve">WU 400 easy. MS 3×500 @ 1:42–1:48/100m /30s + 100 easy. CD 200. Hold pace — the goal is aerobic durability, not speed.</t>
  </si>
  <si>
    <t xml:space="preserve">Sat</t>
  </si>
  <si>
    <t xml:space="preserve">Long ride</t>
  </si>
  <si>
    <t xml:space="preserve">Long ride 1h20. First 20' Z1–low Z2, then Z2 150–175W. Smooth, steady, seated. Indoors until your outdoor kit is sorted; once outdoors, pick flat, low-traffic roads and keep the same power.</t>
  </si>
  <si>
    <t xml:space="preserve">Z2 150–175W (62–72%) · HR 130–143 · RPE 3–4; blocks IM power 160–172W (66–71%) · HR ≤143 · RPE 4</t>
  </si>
  <si>
    <t xml:space="preserve">60–70 g carbs/h from minute 20 · 500–800mg sodium/h · 500–750ml fluid/h (gut training)</t>
  </si>
  <si>
    <t xml:space="preserve">Sun</t>
  </si>
  <si>
    <t xml:space="preserve">Recovery spin</t>
  </si>
  <si>
    <t xml:space="preserve">Easy spin, 40' at high cadence (90–100 rpm). Replaces a 4th swim — keeps the legs moving after Saturday's long ride.</t>
  </si>
  <si>
    <t xml:space="preserve">Z1 &lt;133W (&lt;55%) · HR &lt;130 · RPE 1–2</t>
  </si>
  <si>
    <t xml:space="preserve">1–2</t>
  </si>
  <si>
    <t xml:space="preserve">WU 300 easy + 4×50 build /15s. MS 3×400 @ 1:42–1:48/100m, 20s rest (every 2nd rep with pull buoy) + 300 steady pull. CD 200 easy. All reps ≥50m (Watch-safe).</t>
  </si>
  <si>
    <t xml:space="preserve">Lower — max strength &amp; bone loading: back squat or trap-bar DL 4×6, Bulgarian split squat 3×8/leg, seated soleus raise 3×12 heavy, single-leg calf raise 3×15, tibialis raise 3×15, pogo hops 3×20 (progress to single-leg hops from wk 8), Copenhagen plank 3×20s. See Strength tab.</t>
  </si>
  <si>
    <t xml:space="preserve">WU 400 + 4×50 build /15s. MS 11×100 @ CSS 1:32–1:36 /15s + 4×50 @ ≤1:30 /20s. CD 200 easy (+200 pull if time).</t>
  </si>
  <si>
    <t xml:space="preserve">Easy spin, 45' at high cadence (90–100 rpm). Keep it light.</t>
  </si>
  <si>
    <t xml:space="preserve">Rest</t>
  </si>
  <si>
    <t xml:space="preserve">Wedding day 🎉</t>
  </si>
  <si>
    <t xml:space="preserve">Rest day — sleep, walk, mobility.</t>
  </si>
  <si>
    <t xml:space="preserve">Run</t>
  </si>
  <si>
    <t xml:space="preserve">Walk-run (stage 1)</t>
  </si>
  <si>
    <t xml:space="preserve">RETURN-TO-RUN stage 1: 5' brisk walk, 6×(1' run / 1' walk), finish with walk. Flat, soft surface (grass/path), short quick steps (cadence +5%). Alternate days only. Bone rule: pain ≤2/10 during, none next morning — else stop, 2 days off, drop back one stage.</t>
  </si>
  <si>
    <t xml:space="preserve">Z1 HR ≤141 · RPE 2–3</t>
  </si>
  <si>
    <t xml:space="preserve">2–3</t>
  </si>
  <si>
    <t xml:space="preserve">Zwift structured. WU 15' Z1→Z2 incl. 3×30s @ 100+rpm. MS 5×3' @ 266–281W (110–115% FTP) /3' easy. Remaining time Z2 (150–170W). CD 5–10' easy. Cadence 85–100 on efforts.</t>
  </si>
  <si>
    <t xml:space="preserve">Z5 VO2max: 266–281W (110–115% FTP) · easy between Z1 &lt;133W (&lt;55%) · HR &lt;130 · RPE 1–2</t>
  </si>
  <si>
    <t xml:space="preserve">Zwift endurance. 10' WU 120→150W, 30' steady @ 150–175W, cadence 85–95, 5' easy.</t>
  </si>
  <si>
    <t xml:space="preserve">Long ride 1h30. First 20' Z1–low Z2, then Z2 150–175W. Smooth, steady, seated. Indoors until your outdoor kit is sorted; once outdoors, pick flat, low-traffic roads and keep the same power.</t>
  </si>
  <si>
    <t xml:space="preserve">Rest day.</t>
  </si>
  <si>
    <t xml:space="preserve">Walk-run (stage 2)</t>
  </si>
  <si>
    <t xml:space="preserve">RETURN-TO-RUN stage 2: 5' brisk walk, 6×(2' run / 1' walk), finish with walk. Flat, soft surface (grass/path), short quick steps (cadence +5%). Alternate days only. Bone rule: pain ≤2/10 during, none next morning — else stop, 2 days off, drop back one stage.</t>
  </si>
  <si>
    <t xml:space="preserve">Zwift structured. WU 15' Z1→Z2 incl. 3×30s @ 100+rpm. MS 6×3' @ 266–281W (110–115% FTP) /3' easy. Remaining time Z2 (150–170W). CD 5–10' easy. Cadence 85–100 on efforts.</t>
  </si>
  <si>
    <t xml:space="preserve">Zwift endurance. 10' WU 120→150W, 35' steady @ 150–175W, cadence 85–95, 5' easy.</t>
  </si>
  <si>
    <t xml:space="preserve">WU 400 easy. MS 3×500 @ 1:42–1:48/100m /30s + 400 easy. CD 200. Hold pace — the goal is aerobic durability, not speed.</t>
  </si>
  <si>
    <t xml:space="preserve">Long ride 1h40. First 20' Z1–low Z2, then Z2 150–175W. Smooth, steady, seated. Indoors until your outdoor kit is sorted; once outdoors, pick flat, low-traffic roads and keep the same power.</t>
  </si>
  <si>
    <t xml:space="preserve">WU 300 easy + 4×50 build /15s. MS 5×400 @ 1:42–1:48/100m, 20s rest (every 2nd rep with pull buoy) + 100 steady pull. CD 200 easy. All reps ≥50m (Watch-safe).</t>
  </si>
  <si>
    <t xml:space="preserve">Walk-run (stage 3)</t>
  </si>
  <si>
    <t xml:space="preserve">RETURN-TO-RUN stage 3: 5' brisk walk, 5×(4' run / 1' walk), finish with walk. Flat, soft surface (grass/path), short quick steps (cadence +5%). Alternate days only. Bone rule: pain ≤2/10 during, none next morning — else stop, 2 days off, drop back one stage.</t>
  </si>
  <si>
    <t xml:space="preserve">Zwift structured. WU 15' Z1→Z2 incl. 3×30s @ 100+rpm. MS 5×4' @ 259–273W (107–112% FTP) /3' easy. Remaining time Z2 (150–170W). CD 5–10' easy. Cadence 85–100 on efforts.</t>
  </si>
  <si>
    <t xml:space="preserve">Z5 VO2max: 259–273W (107–112% FTP) · easy between Z1 &lt;133W (&lt;55%) · HR &lt;130 · RPE 1–2</t>
  </si>
  <si>
    <t xml:space="preserve">WU 400 + 4×50 build /15s. MS 16×100 @ CSS 1:32–1:36 /15s + 4×50 @ ≤1:30 /20s. CD 200 easy (+200 pull if time).</t>
  </si>
  <si>
    <t xml:space="preserve">WU 400 easy. MS 4×500 @ 1:42–1:48/100m /30s + 200 easy. CD 200. Hold pace — the goal is aerobic durability, not speed.</t>
  </si>
  <si>
    <t xml:space="preserve">Long ride 2h00. First 20' Z1–low Z2, then Z2 150–175W. Smooth, steady, seated. Indoors until your outdoor kit is sorted; once outdoors, pick flat, low-traffic roads and keep the same power.</t>
  </si>
  <si>
    <t xml:space="preserve">TEST: CSS 400/200</t>
  </si>
  <si>
    <t xml:space="preserve">CSS TEST. WU 400 easy + 4×50 build. 400m time trial (max even effort). 300 easy (~5'). 200m time trial. CD 200. CSS/100m = (T400 − T200) ÷ 2. Update the Zones tab.</t>
  </si>
  <si>
    <t xml:space="preserve">Max sustainable · RPE 9</t>
  </si>
  <si>
    <t xml:space="preserve">9</t>
  </si>
  <si>
    <t xml:space="preserve">Easy spin, 40' at high cadence (90–100 rpm). </t>
  </si>
  <si>
    <t xml:space="preserve">PM (after run)</t>
  </si>
  <si>
    <t xml:space="preserve">Recovery swim</t>
  </si>
  <si>
    <t xml:space="preserve">Easy 1800m: 200s &amp; 400s, mix free/pull, 20s rest. Long, smooth strokes.</t>
  </si>
  <si>
    <t xml:space="preserve">Z1 ≥1:52/100m · RPE 2</t>
  </si>
  <si>
    <t xml:space="preserve">2</t>
  </si>
  <si>
    <t xml:space="preserve">TEST: FTP ramp</t>
  </si>
  <si>
    <t xml:space="preserve">Zwift RAMP TEST (FTP = 75% of best 1-min power). 10' WU easy, ramp to failure, 10' CD. Update FTP in Zwift + Zones tab; log in Strava as 'FTP SET: [W]'. Fresh legs — easy day before.</t>
  </si>
  <si>
    <t xml:space="preserve">To failure · RPE 10</t>
  </si>
  <si>
    <t xml:space="preserve">10</t>
  </si>
  <si>
    <t xml:space="preserve">Walk-run (stage 4)</t>
  </si>
  <si>
    <t xml:space="preserve">RETURN-TO-RUN stage 4: 5' brisk walk, 3×(8' run / 1' walk), finish with walk. Flat, soft surface (grass/path), short quick steps (cadence +5%). Alternate days only. Bone rule: pain ≤2/10 during, none next morning — else stop, 2 days off, drop back one stage.</t>
  </si>
  <si>
    <t xml:space="preserve">Zwift structured. WU 15' Z1→Z2 incl. 3×30s @ 100+rpm. MS 6×4' @ 259–273W (107–112% FTP) /3' easy. Remaining time Z2 (150–170W). CD 5–10' easy. Cadence 85–100 on efforts.</t>
  </si>
  <si>
    <t xml:space="preserve">WU 400 + 4×50 build /15s. MS 15×100 @ CSS 1:32–1:36 /12s + 6×50 @ ≤1:28 /20s. CD 200 easy (+200 pull if time).</t>
  </si>
  <si>
    <t xml:space="preserve">Long ride 2h10. First 20' Z1–low Z2, then Z2 150–175W. Smooth, steady, seated. Indoors until your outdoor kit is sorted; once outdoors, pick flat, low-traffic roads and keep the same power.</t>
  </si>
  <si>
    <t xml:space="preserve">Easy spin, 25' at high cadence (90–100 rpm). Replaces a 4th swim — keeps the legs moving after Saturday's long ride.</t>
  </si>
  <si>
    <t xml:space="preserve">WU 300 easy + 4×50 build /15s. MS 5×400 @ 1:42–1:48/100m, 20s rest (every 2nd rep with pull buoy) + 300 steady pull. CD 200 easy. All reps ≥50m (Watch-safe).</t>
  </si>
  <si>
    <t xml:space="preserve">Easy run</t>
  </si>
  <si>
    <t xml:space="preserve">Easy continuous 25'. First continuous runs — flat &amp; soft surface. Bone rule: pain ≤2/10 during, none next morning — else stop, 2 days off, drop back one stage.</t>
  </si>
  <si>
    <t xml:space="preserve">Z1–Z2 HR 135–149 (hard cap 149) · RPE 3–4</t>
  </si>
  <si>
    <t xml:space="preserve">Zwift structured. WU 15' Z1→Z2 incl. 3×30s @ 100+rpm. MS 5×5' @ 254–266W (105–110% FTP) /3' easy. Remaining time Z2 (150–170W). CD 5–10' easy. Cadence 85–100 on efforts.</t>
  </si>
  <si>
    <t xml:space="preserve">Z5 VO2max: 254–266W (105–110% FTP) · easy between Z1 &lt;133W (&lt;55%) · HR &lt;130 · RPE 1–2</t>
  </si>
  <si>
    <t xml:space="preserve">WU 400 + 4×50 build /15s. MS 17×100 @ CSS 1:32–1:36 /12s + 6×50 @ ≤1:28 /20s. CD 200 easy (+200 pull if time).</t>
  </si>
  <si>
    <t xml:space="preserve">Easy continuous 30'. Bone rule: pain ≤2/10 during, none next morning — else stop, 2 days off, drop back one stage.</t>
  </si>
  <si>
    <t xml:space="preserve">WU 400 easy. MS 4×500 @ 1:42–1:48/100m /30s + 400 easy. CD 200. Hold pace — the goal is aerobic durability, not speed.</t>
  </si>
  <si>
    <t xml:space="preserve">Long ride 2h45. First 20' Z1–low Z2, then Z2 150–175W. Smooth, steady, seated. Indoors until your outdoor kit is sorted; once outdoors, pick flat, low-traffic roads and keep the same power.</t>
  </si>
  <si>
    <t xml:space="preserve">Easy spin, 35' at high cadence (90–100 rpm). Replaces a 4th swim — keeps the legs moving after Saturday's long ride.</t>
  </si>
  <si>
    <t xml:space="preserve">Zwift structured. WU 15' Z1→Z2 incl. 3×30s @ 100+rpm. MS 6×5' @ 254–266W (105–110% FTP) /3' easy. Remaining time Z2 (150–170W). CD 5–10' easy. Cadence 85–100 on efforts.</t>
  </si>
  <si>
    <t xml:space="preserve">40–60 g carbs/h + electrolytes</t>
  </si>
  <si>
    <t xml:space="preserve">Long ride 3h00. First 20' Z1–low Z2, then Z2 150–175W. Last 20' @ IM power 160–172W. Indoors until your outdoor kit is sorted; once outdoors, pick flat, low-traffic roads and keep the same power.</t>
  </si>
  <si>
    <t xml:space="preserve">70–80 g carbs/h from minute 20 · 500–800mg sodium/h · 500–750ml fluid/h (gut training)</t>
  </si>
  <si>
    <t xml:space="preserve">Brick run</t>
  </si>
  <si>
    <t xml:space="preserve">BRICK — run straight off the bike (&lt;5' transition). 10': first 5' settle with quick cadence, then IM run effort HR 140–149. Bone rule: pain ≤2/10 during, none next morning — else stop, 2 days off, drop back one stage.</t>
  </si>
  <si>
    <t xml:space="preserve">4</t>
  </si>
  <si>
    <t xml:space="preserve">Straight after ride</t>
  </si>
  <si>
    <t xml:space="preserve">Long run</t>
  </si>
  <si>
    <t xml:space="preserve">Long run 40' (≈6.7 km). Even effort, flat route, HR capped at 149. Bone rule: pain ≤2/10 during, none next morning — else stop, 2 days off, drop back one stage.</t>
  </si>
  <si>
    <t xml:space="preserve">Water</t>
  </si>
  <si>
    <t xml:space="preserve">WU 400 + 4×50 build /15s. MS 10×100 @ CSS 1:32–1:36 /12s + 6×50 @ ≤1:28 /20s. CD 200 easy (+200 pull if time).</t>
  </si>
  <si>
    <t xml:space="preserve">Easy spin, 45' at high cadence (90–100 rpm). </t>
  </si>
  <si>
    <t xml:space="preserve">Easy continuous 25'. Bone rule: pain ≤2/10 during, none next morning — else stop, 2 days off, drop back one stage.</t>
  </si>
  <si>
    <t xml:space="preserve">Long ride 2h00. First 20' Z1–low Z2, then Z2 150–175W. Last 20' @ IM power 160–172W. Indoors until your outdoor kit is sorted; once outdoors, pick flat, low-traffic roads and keep the same power.</t>
  </si>
  <si>
    <t xml:space="preserve">Long run 35' (≈5.8 km). Even effort, flat route, HR capped at 149. Bone rule: pain ≤2/10 during, none next morning — else stop, 2 days off, drop back one stage.</t>
  </si>
  <si>
    <t xml:space="preserve">Intervals — Z4 threshold</t>
  </si>
  <si>
    <t xml:space="preserve">Zwift structured. WU 15' Z1→Z2 incl. 3×30s @ 100+rpm. MS 4×8' @ 235–249W (97–103% FTP) /4' easy. Remaining time Z2 (150–170W). CD 5–10' easy. Cadence 85–100 on efforts.</t>
  </si>
  <si>
    <t xml:space="preserve">Z4 threshold: 235–249W (97–103% FTP) · easy between Z1 &lt;133W (&lt;55%) · HR &lt;130 · RPE 1–2</t>
  </si>
  <si>
    <t xml:space="preserve">WU 400 + 4×50 build /15s. MS 5×200 @ 1:33–1:36 /20s + 10×100 @ 1:31–1:34 /15s. CD 200 easy (+200 pull if time).</t>
  </si>
  <si>
    <t xml:space="preserve">Easy run + strides</t>
  </si>
  <si>
    <t xml:space="preserve">Easy continuous 30'. Finish with 6×20s relaxed strides (not sprints), walk back recovery. Bone rule: pain ≤2/10 during, none next morning — else stop, 2 days off, drop back one stage.</t>
  </si>
  <si>
    <t xml:space="preserve">Long ride 3h10. First 20' Z1–low Z2, then Z2 150–175W. Last 20' @ IM power 160–172W. Indoors until your outdoor kit is sorted; once outdoors, pick flat, low-traffic roads and keep the same power.</t>
  </si>
  <si>
    <t xml:space="preserve">Midday / any</t>
  </si>
  <si>
    <t xml:space="preserve">Long run 48' (≈8 km). Even effort, flat route, HR capped at 149. Bone rule: pain ≤2/10 during, none next morning — else stop, 2 days off, drop back one stage.</t>
  </si>
  <si>
    <t xml:space="preserve">Easy continuous 35'. Bone rule: pain ≤2/10 during, none next morning — else stop, 2 days off, drop back one stage.</t>
  </si>
  <si>
    <t xml:space="preserve">Zwift structured. WU 15' Z1→Z2 incl. 3×30s @ 100+rpm. MS 3×12' @ 230–244W (95–101% FTP) /5' easy. Remaining time Z2 (150–170W). CD 5–10' easy. Cadence 85–100 on efforts.</t>
  </si>
  <si>
    <t xml:space="preserve">Z4 threshold: 230–244W (95–101% FTP) · easy between Z1 &lt;133W (&lt;55%) · HR &lt;130 · RPE 1–2</t>
  </si>
  <si>
    <t xml:space="preserve">Long ride 3h15. First 20' Z1–low Z2, then Z2 150–175W. Last 20' @ IM power 160–172W. Indoors until your outdoor kit is sorted; once outdoors, pick flat, low-traffic roads and keep the same power.</t>
  </si>
  <si>
    <t xml:space="preserve">Easy spin, 30' at high cadence (90–100 rpm). Replaces a 4th swim — keeps the legs moving after Saturday's long ride.</t>
  </si>
  <si>
    <t xml:space="preserve">Long run 54' (≈9 km). Even effort, flat route, HR capped at 149. Bone rule: pain ≤2/10 during, none next morning — else stop, 2 days off, drop back one stage.</t>
  </si>
  <si>
    <t xml:space="preserve">Zwift structured. WU 15' Z1→Z2 incl. 3×30s @ 100+rpm. MS 4×10' @ 230–244W (95–101% FTP) /4' easy. Remaining time Z2 (150–170W). CD 5–10' easy. Cadence 85–100 on efforts.</t>
  </si>
  <si>
    <t xml:space="preserve">WU 400 + 4×50 build /15s. MS 5×200 @ 1:33–1:36 /20s + 13×100 @ 1:31–1:34 /15s. CD 200 easy (+200 pull if time).</t>
  </si>
  <si>
    <t xml:space="preserve">Easy continuous 35'. Finish with 6×20s relaxed strides (not sprints), walk back recovery. Bone rule: pain ≤2/10 during, none next morning — else stop, 2 days off, drop back one stage.</t>
  </si>
  <si>
    <t xml:space="preserve">Zwift endurance. 10' WU 120→150W, 55' steady @ 150–175W, cadence 85–95, 5' easy.</t>
  </si>
  <si>
    <t xml:space="preserve">WU 400 easy. MS 5×500 @ 1:42–1:48/100m /30s + 100 easy. CD 200. Hold pace — the goal is aerobic durability, not speed.</t>
  </si>
  <si>
    <t xml:space="preserve">Long ride 3h30. First 20' Z1–low Z2, then Z2 150–175W. Last 20' @ IM power 160–172W. Indoors until your outdoor kit is sorted; once outdoors, pick flat, low-traffic roads and keep the same power.</t>
  </si>
  <si>
    <t xml:space="preserve">Long run 60' (≈10 km). Even effort, flat route, HR capped at 149. Bone rule: pain ≤2/10 during, none next morning — else stop, 2 days off, drop back one stage.</t>
  </si>
  <si>
    <t xml:space="preserve">Long ride 2h30. First 20' Z1–low Z2, then Z2 150–175W. Last 20' @ IM power 160–172W. Indoors until your outdoor kit is sorted; once outdoors, pick flat, low-traffic roads and keep the same power.</t>
  </si>
  <si>
    <t xml:space="preserve">Long run 50' (≈8.3 km). Even effort, flat route, HR capped at 149. Bone rule: pain ≤2/10 during, none next morning — else stop, 2 days off, drop back one stage.</t>
  </si>
  <si>
    <t xml:space="preserve">WU 300 easy + 4×50 build /15s. MS 5×400 @ 1:42–1:48/100m, 20s rest (every 2nd rep with pull buoy + paddles) + 300 steady pull. CD 200 easy. All reps ≥50m (Watch-safe).</t>
  </si>
  <si>
    <t xml:space="preserve">Zwift structured. WU 15' Z1→Z2 incl. 3×30s @ 100+rpm. MS 3×15' @ 225–240W (93–99% FTP) /5' easy. Remaining time Z2 (150–170W). CD 5–10' easy. Cadence 85–100 on efforts.</t>
  </si>
  <si>
    <t xml:space="preserve">Z4 threshold: 225–240W (93–99% FTP) · easy between Z1 &lt;133W (&lt;55%) · HR &lt;130 · RPE 1–2</t>
  </si>
  <si>
    <t xml:space="preserve">Strength A — build</t>
  </si>
  <si>
    <t xml:space="preserve">Do this AFTER the bike intervals — ideally 6h+ later (bike AM, gym PM). Lower — maintenance (heavy, low volume): trap-bar DL 3×5, split squat 2×6/leg, soleus raise 3×10 heavy, single-leg hops 3×10/leg, box jump 3×5, side plank 2×30s. See Strength tab.</t>
  </si>
  <si>
    <t xml:space="preserve">WU 400 + 4×50 build /15s. MS 4×300 @ 1:34–1:36 /20s + 8×100 @ 1:30–1:33 /15s. CD 200 easy (+200 pull if time).</t>
  </si>
  <si>
    <t xml:space="preserve">Zwift endurance. 10' WU 120→150W, 60' steady @ 150–175W, cadence 85–95, 5' easy. Include 2×15' @ IM power 170–182W (70–75% FTP) in aero position.</t>
  </si>
  <si>
    <t xml:space="preserve">WU 400 easy. MS 2×1000 @ IM pace 1:42–1:46/100m /30s + 600 pull. CD 200. Hold pace — the goal is aerobic durability, not speed.</t>
  </si>
  <si>
    <t xml:space="preserve">Strength B — build</t>
  </si>
  <si>
    <t xml:space="preserve">Upper/core/hips (light legs — long ride tomorrow): pull-ups 3×6, band pull-aparts 3×15, DB press 3×8, lateral band walks 2×15, single-leg RDL 2×8 (light), Pallof press 3×10, swimmer's Y-T-W 2×10. See Strength tab.</t>
  </si>
  <si>
    <t xml:space="preserve">Long ride 3h45. First 20' Z1–low Z2, then Z2 150–175W. Include 3×30' @ IM power 170–182W (70–75% FTP) in aero, 10' Z2 between. Indoors until your outdoor kit is sorted; once outdoors, pick flat, low-traffic roads and keep the same power.</t>
  </si>
  <si>
    <t xml:space="preserve">Z2 150–175W (62–72%) · HR 130–143 · RPE 3–4; blocks IM power 170–182W (70–75% FTP) · HR ≤145 · RPE 4</t>
  </si>
  <si>
    <t xml:space="preserve">80–90 g carbs/h from minute 20 · 500–800mg sodium/h · 500–750ml fluid/h (gut training)</t>
  </si>
  <si>
    <t xml:space="preserve">BRICK — run straight off the bike (&lt;5' transition). 15': first 5' settle with quick cadence, then IM run effort HR 140–149. Bone rule: pain ≤2/10 during, none next morning — else stop, 2 days off, drop back one stage.</t>
  </si>
  <si>
    <t xml:space="preserve">Long run 72' (≈12 km). Even effort, flat route, HR capped at 149. Last 20' at IM run feel (≈5:40–5:55/km, HR ≤149). Practise IM run fuelling. Bone rule: pain ≤2/10 during, none next morning — else stop, 2 days off, drop back one stage.</t>
  </si>
  <si>
    <t xml:space="preserve">Zwift structured. WU 15' Z1→Z2 incl. 3×30s @ 100+rpm. MS 2×20' @ 225–240W (93–99% FTP) /5' easy. Remaining time Z2 (150–170W). CD 5–10' easy. Cadence 85–100 on efforts.</t>
  </si>
  <si>
    <t xml:space="preserve">WU 400 + 4×50 build /15s. MS 4×300 @ 1:34–1:36 /20s + 11×100 @ 1:30–1:33 /15s. CD 200 easy (+200 pull if time).</t>
  </si>
  <si>
    <t xml:space="preserve">Cruise intervals</t>
  </si>
  <si>
    <t xml:space="preserve">15' easy + 4 strides. MS 4×4' @ Z4 /2' jog (cruise intervals, ≈4:45–5:00/km but run by HR). Easy to finish. Only if tibia fully quiet — otherwise run it all easy. Bone rule: pain ≤2/10 during, none next morning — else stop, 2 days off, drop back one stage.</t>
  </si>
  <si>
    <t xml:space="preserve">Z4 HR 159–165 · RPE 7; jogs Z1 HR ≤141 · RPE 2–3</t>
  </si>
  <si>
    <t xml:space="preserve">7</t>
  </si>
  <si>
    <t xml:space="preserve">Zwift endurance. 10' WU 120→150W, 65' steady @ 150–175W, cadence 85–95, 5' easy. Include 2×15' @ IM power 170–182W (70–75% FTP) in aero position.</t>
  </si>
  <si>
    <t xml:space="preserve">Long ride 4h00. First 20' Z1–low Z2, then Z2 150–175W. Include 3×30' @ IM power 170–182W (70–75% FTP) in aero, 10' Z2 between. Indoors until your outdoor kit is sorted; once outdoors, pick flat, low-traffic roads and keep the same power.</t>
  </si>
  <si>
    <t xml:space="preserve">Long run 78' (≈13 km). Even effort, flat route, HR capped at 149. Last 20' at IM run feel (≈5:40–5:55/km, HR ≤149). Practise IM run fuelling. Bone rule: pain ≤2/10 during, none next morning — else stop, 2 days off, drop back one stage.</t>
  </si>
  <si>
    <t xml:space="preserve">60–90 g carbs/h (you've handled 90 g/h) + electrolytes</t>
  </si>
  <si>
    <t xml:space="preserve">Easy spin, 45' at high cadence (90–100 rpm). Replaces the Monday pool swim (Sunday open water is the 3rd swim). Flushes legs after the long run.</t>
  </si>
  <si>
    <t xml:space="preserve">Zwift structured. WU 15' Z1→Z2 incl. 3×30s @ 100+rpm. MS 3×15' @ 227–242W (94–100% FTP) /4' easy. Remaining time Z2 (150–170W). CD 5–10' easy. Cadence 85–100 on efforts.</t>
  </si>
  <si>
    <t xml:space="preserve">Z4 threshold: 227–242W (94–100% FTP) · easy between Z1 &lt;133W (&lt;55%) · HR &lt;130 · RPE 1–2</t>
  </si>
  <si>
    <t xml:space="preserve">15' easy + 4 strides. MS 5×4' @ Z4 /2' jog (cruise intervals, ≈4:45–5:00/km but run by HR). Easy to finish. Only if tibia fully quiet — otherwise run it all easy. Bone rule: pain ≤2/10 during, none next morning — else stop, 2 days off, drop back one stage.</t>
  </si>
  <si>
    <t xml:space="preserve">Zwift endurance. 10' WU 120→150W, 70' steady @ 150–175W, cadence 85–95, 5' easy. Include 2×20' @ IM power 170–182W (70–75% FTP) in aero position.</t>
  </si>
  <si>
    <t xml:space="preserve">WU 400 easy. MS 2×1000 @ IM pace 1:42–1:46/100m /30s + 900 pull. CD 200. Hold pace — the goal is aerobic durability, not speed.</t>
  </si>
  <si>
    <t xml:space="preserve">Long ride 4h15. First 20' Z1–low Z2, then Z2 150–175W. Include 3×30' @ IM power 170–182W (70–75% FTP) in aero, 10' Z2 between. Indoors until your outdoor kit is sorted; once outdoors, pick flat, low-traffic roads and keep the same power.</t>
  </si>
  <si>
    <t xml:space="preserve">BRICK — run straight off the bike (&lt;5' transition). 20': first 5' settle with quick cadence, then IM run effort HR 140–149. Bone rule: pain ≤2/10 during, none next morning — else stop, 2 days off, drop back one stage.</t>
  </si>
  <si>
    <t xml:space="preserve">Open water skills</t>
  </si>
  <si>
    <t xml:space="preserve">Open water (wetsuit once you own one; do some non-wetsuit swims too). 10' easy + sighting every 6–9 strokes; 4×20 hard strokes then settle (mass-start rehearsal); 3×(8' @ IM effort / 2' easy); practise drafting/turning at a marker; 5' easy. Swim with a buddy/group.</t>
  </si>
  <si>
    <t xml:space="preserve">RPE 3–4 at IM effort (≈1:44/100m pool equiv.)</t>
  </si>
  <si>
    <t xml:space="preserve">Long run 84' (≈14 km). Even effort, flat route, HR capped at 149. Last 20' at IM run feel (≈5:40–5:55/km, HR ≤149). Practise IM run fuelling. Bone rule: pain ≤2/10 during, none next morning — else stop, 2 days off, drop back one stage.</t>
  </si>
  <si>
    <t xml:space="preserve">Lower — maintenance (heavy, low volume): trap-bar DL 3×5, split squat 2×6/leg, soleus raise 3×10 heavy, single-leg hops 3×10/leg, box jump 3×5, side plank 2×30s. See Strength tab.</t>
  </si>
  <si>
    <t xml:space="preserve">Easy 2000m: 200s &amp; 400s, mix free/pull, 20s rest. Long, smooth strokes.</t>
  </si>
  <si>
    <t xml:space="preserve">Long ride 2h45. First 20' Z1–low Z2, then Z2 150–175W. Last 20' @ IM power 170–182W (70–75% FTP). Indoors until your outdoor kit is sorted; once outdoors, pick flat, low-traffic roads and keep the same power.</t>
  </si>
  <si>
    <t xml:space="preserve">Long run 65' (≈10.8 km). Even effort, flat route, HR capped at 149. Last 20' at IM run feel (≈5:40–5:55/km, HR ≤149). Practise IM run fuelling. Bone rule: pain ≤2/10 during, none next morning — else stop, 2 days off, drop back one stage.</t>
  </si>
  <si>
    <t xml:space="preserve">Zwift structured. WU 15' Z1→Z2 incl. 3×30s @ 100+rpm. MS 5×5' @ 257–271W (106–112% FTP) /3' easy. Remaining time Z2 (150–170W). CD 5–10' easy. Cadence 85–100 on efforts.</t>
  </si>
  <si>
    <t xml:space="preserve">Z5 VO2max: 257–271W (106–112% FTP) · easy between Z1 &lt;133W (&lt;55%) · HR &lt;130 · RPE 1–2</t>
  </si>
  <si>
    <t xml:space="preserve">15' easy + 4 strides. MS 4×6' @ Z4 /2' jog (cruise intervals, ≈4:45–5:00/km but run by HR). Easy to finish. Only if tibia fully quiet — otherwise run it all easy. Bone rule: pain ≤2/10 during, none next morning — else stop, 2 days off, drop back one stage.</t>
  </si>
  <si>
    <t xml:space="preserve">Long ride 4h30. First 20' Z1–low Z2, then Z2 150–175W. Include 3×40' @ IM power 170–182W (70–75% FTP) in aero, 10' Z2 between. Indoors until your outdoor kit is sorted; once outdoors, pick flat, low-traffic roads and keep the same power.</t>
  </si>
  <si>
    <t xml:space="preserve">Long run 96' (≈16 km). Even effort, flat route, HR capped at 149. Last 20' at IM run feel (≈5:40–5:55/km, HR ≤149). Practise IM run fuelling. Bone rule: pain ≤2/10 during, none next morning — else stop, 2 days off, drop back one stage.</t>
  </si>
  <si>
    <t xml:space="preserve">Zwift structured. WU 15' Z1→Z2 incl. 3×30s @ 100+rpm. MS 6×5' @ 257–271W (106–112% FTP) /3' easy. Remaining time Z2 (150–170W). CD 5–10' easy. Cadence 85–100 on efforts.</t>
  </si>
  <si>
    <t xml:space="preserve">WU 400 + 4×50 build /15s. MS 4×300 @ 1:34–1:36 /20s + 13×100 @ 1:30–1:33 /15s. CD 200 easy (+200 pull if time).</t>
  </si>
  <si>
    <t xml:space="preserve">15' easy + 4 strides. MS 3×8' @ Z4 /2' jog (cruise intervals, ≈4:45–5:00/km but run by HR). Easy to finish. Only if tibia fully quiet — otherwise run it all easy. Bone rule: pain ≤2/10 during, none next morning — else stop, 2 days off, drop back one stage.</t>
  </si>
  <si>
    <t xml:space="preserve">Zwift endurance. 10' WU 120→150W, 65' steady @ 150–175W, cadence 85–95, 5' easy. Include 2×20' @ IM power 170–182W (70–75% FTP) in aero position.</t>
  </si>
  <si>
    <t xml:space="preserve">WU 400 easy. MS 3×1000 @ IM pace 1:42–1:46/100m /30s + 200 pull. CD 200. Hold pace — the goal is aerobic durability, not speed.</t>
  </si>
  <si>
    <t xml:space="preserve">Long ride 5h00. First 20' Z1–low Z2, then Z2 150–175W. Include 2×60' @ IM power 170–182W (70–75% FTP) in aero, 10' Z2 between. Indoors until your outdoor kit is sorted; once outdoors, pick flat, low-traffic roads and keep the same power.</t>
  </si>
  <si>
    <t xml:space="preserve">Long run 102' (≈17 km). Even effort, flat route, HR capped at 149. Last 20' at IM run feel (≈5:40–5:55/km, HR ≤149). Practise IM run fuelling. Bone rule: pain ≤2/10 during, none next morning — else stop, 2 days off, drop back one stage.</t>
  </si>
  <si>
    <t xml:space="preserve">Zwift structured. WU 15' Z1→Z2 incl. 3×30s @ 100+rpm. MS 2×20' @ 227–242W (94–100% FTP) /5' easy. Remaining time Z2 (150–170W). CD 5–10' easy. Cadence 85–100 on efforts.</t>
  </si>
  <si>
    <t xml:space="preserve">15' easy + 4 strides. MS 4×7' @ Z4 /2' jog (cruise intervals, ≈4:45–5:00/km but run by HR). Easy to finish. Only if tibia fully quiet — otherwise run it all easy. Bone rule: pain ≤2/10 during, none next morning — else stop, 2 days off, drop back one stage.</t>
  </si>
  <si>
    <t xml:space="preserve">Easy continuous 40'. Finish with 6×20s relaxed strides (not sprints), walk back recovery. Bone rule: pain ≤2/10 during, none next morning — else stop, 2 days off, drop back one stage.</t>
  </si>
  <si>
    <t xml:space="preserve">Long ride 5h20. First 20' Z1–low Z2, then Z2 150–175W. Include 2×60' @ IM power 170–182W (70–75% FTP) in aero, 10' Z2 between. Indoors until your outdoor kit is sorted; once outdoors, pick flat, low-traffic roads and keep the same power.</t>
  </si>
  <si>
    <t xml:space="preserve">BRICK — run straight off the bike (&lt;5' transition). 25': first 5' settle with quick cadence, then IM run effort HR 140–149. Bone rule: pain ≤2/10 during, none next morning — else stop, 2 days off, drop back one stage.</t>
  </si>
  <si>
    <t xml:space="preserve">Long run 110' (≈18.3 km). Even effort, flat route, HR capped at 149. Last 20' at IM run feel (≈5:40–5:55/km, HR ≤149). Practise IM run fuelling. Bone rule: pain ≤2/10 during, none next morning — else stop, 2 days off, drop back one stage.</t>
  </si>
  <si>
    <t xml:space="preserve">WU 400 + 4×50 build /15s. MS 4×300 @ 1:34–1:36 /20s + 6×100 @ 1:30–1:33 /15s. CD 200 easy (+200 pull if time).</t>
  </si>
  <si>
    <t xml:space="preserve">Zwift endurance. 10' WU 120→150W, 45' steady @ 150–175W, cadence 85–95, 5' easy. Include 2×10' @ IM power 170–182W (70–75% FTP) in aero position.</t>
  </si>
  <si>
    <t xml:space="preserve">Long ride 3h00. First 20' Z1–low Z2, then Z2 150–175W. Include 3×30' @ IM power 170–182W (70–75% FTP) in aero, 10' Z2 between. Indoors until your outdoor kit is sorted; once outdoors, pick flat, low-traffic roads and keep the same power.</t>
  </si>
  <si>
    <t xml:space="preserve">Long run 80' (≈13.3 km). Even effort, flat route, HR capped at 149. Last 20' at IM run feel (≈5:40–5:55/km, HR ≤149). Practise IM run fuelling. Bone rule: pain ≤2/10 during, none next morning — else stop, 2 days off, drop back one stage.</t>
  </si>
  <si>
    <t xml:space="preserve">WU 300 easy + 4×50 build /15s. MS 4×400 @ 1:42–1:48/100m, 20s rest (every 2nd rep with pull buoy + paddles) + 200 steady pull. CD 200 easy. All reps ≥50m (Watch-safe).</t>
  </si>
  <si>
    <t xml:space="preserve">Strength A — peak</t>
  </si>
  <si>
    <t xml:space="preserve">Short maintenance: trap-bar DL 2×5, soleus raise 2×10, single-leg hops 2×10/leg, side plank 2×30s. See Strength tab.</t>
  </si>
  <si>
    <t xml:space="preserve">Race-pace touch</t>
  </si>
  <si>
    <t xml:space="preserve">15' WU; 3×8' @ T100 power 178–190W (74–78%) /4'; rest Z2.</t>
  </si>
  <si>
    <t xml:space="preserve">T100 power 178–190W · HR ≤150</t>
  </si>
  <si>
    <t xml:space="preserve">5–6</t>
  </si>
  <si>
    <t xml:space="preserve">WU 400 + 4×50 build /15s. MS 6×100 @ 1:32–1:35 /20s + 4×50 fast/easy. CD 200 easy (+200 pull if time).</t>
  </si>
  <si>
    <t xml:space="preserve">Openers</t>
  </si>
  <si>
    <t xml:space="preserve">50' easy with 3×2' @ IM power (176W) and 3×30s @ 250W, full recovery. Check gears/brakes.</t>
  </si>
  <si>
    <t xml:space="preserve">Z2 150–175W (62–72%) · HR 130–143 · RPE 3–4; efforts as listed</t>
  </si>
  <si>
    <t xml:space="preserve">3–5</t>
  </si>
  <si>
    <t xml:space="preserve">30' easy with 3×2' @ IM power (176W) and 3×30s @ 250W, full recovery. Check gears/brakes.</t>
  </si>
  <si>
    <t xml:space="preserve">Shakeout</t>
  </si>
  <si>
    <t xml:space="preserve">15' easy jog + 4 strides. Rack bike, check gear.</t>
  </si>
  <si>
    <t xml:space="preserve">Race</t>
  </si>
  <si>
    <t xml:space="preserve">RACE — Gold Coast T100 (2/80/18)</t>
  </si>
  <si>
    <t xml:space="preserve">Swim 2km steady (1:40–1:44/100m). Bike 80km @ 175–190W (72–78% FTP), HR ≤150, aero. Run 18km: HR 142–149 for 12km, may float to ≤155 last 6km only if tibia + legs feel great. Rehearse IM nutrition. Practise transitions.</t>
  </si>
  <si>
    <t xml:space="preserve">Swim Z2–Z3 · Bike 175–190W · Run HR ≤149 then ≤155</t>
  </si>
  <si>
    <t xml:space="preserve">see plan</t>
  </si>
  <si>
    <t xml:space="preserve">90 g carbs/h on bike, 60–90 g/h on run, 800mg sodium/h</t>
  </si>
  <si>
    <t xml:space="preserve">WU 400 easy. MS 2×1000 @ IM pace 1:42–1:46/100m /30s + 400 pull. CD 200. Hold pace — the goal is aerobic durability, not speed.</t>
  </si>
  <si>
    <t xml:space="preserve">Long run 90' (≈15 km). Even effort, flat route, HR capped at 149. London prep: practise 60–90 g carbs/h exactly as planned for race day. Bone rule: pain ≤2/10 during, none next morning — else stop, 2 days off, drop back one stage.</t>
  </si>
  <si>
    <t xml:space="preserve">Zwift structured. WU 15' Z1→Z2 incl. 3×30s @ 100+rpm. MS 5×6' @ 249–261W (103–108% FTP) /3' easy. Remaining time Z2 (150–170W). CD 5–10' easy. Cadence 85–100 on efforts.</t>
  </si>
  <si>
    <t xml:space="preserve">Z4 threshold: 249–261W (103–108% FTP) · easy between Z1 &lt;133W (&lt;55%) · HR &lt;130 · RPE 1–2</t>
  </si>
  <si>
    <t xml:space="preserve">WU 400 + 4×50 build /15s. MS 2×(4×200 @ 1:33–1:35 /20s), 100 easy between + 14×50 @ ≤1:28 /15s. CD 200 easy (+200 pull if time).</t>
  </si>
  <si>
    <t xml:space="preserve">15' easy + 4 strides. MS 3×10' @ Z4 /3' jog (cruise intervals, ≈4:45–5:00/km but run by HR). Easy to finish. Only if tibia fully quiet — otherwise run it all easy. Bone rule: pain ≤2/10 during, none next morning — else stop, 2 days off, drop back one stage.</t>
  </si>
  <si>
    <t xml:space="preserve">Long ride 5h30. First 20' Z1–low Z2, then Z2 150–175W. Middle 4h continuous @ IM power 170–182W (70–75% FTP) in aero (race rehearsal: kit, bottles, nutrition). Indoors until your outdoor kit is sorted; once outdoors, pick flat, low-traffic roads and keep the same power.</t>
  </si>
  <si>
    <t xml:space="preserve">90–100 g carbs/h from minute 20 · 500–800mg sodium/h · 500–750ml fluid/h (gut training)</t>
  </si>
  <si>
    <t xml:space="preserve">Long run 130' (≈21.7 km). Even effort, flat route, HR capped at 149. London prep: practise 60–90 g carbs/h exactly as planned for race day. Bone rule: pain ≤2/10 during, none next morning — else stop, 2 days off, drop back one stage.</t>
  </si>
  <si>
    <t xml:space="preserve">Zwift structured. WU 15' Z1→Z2 incl. 3×30s @ 100+rpm. MS 3×12' @ 230–244W (95–101% FTP) /4' easy. Remaining time Z2 (150–170W). CD 5–10' easy. Cadence 85–100 on efforts.</t>
  </si>
  <si>
    <t xml:space="preserve">15' easy + 4 strides. MS 2×12' @ Z4 /3' jog (cruise intervals, ≈4:45–5:00/km but run by HR). Easy to finish. Only if tibia fully quiet — otherwise run it all easy. Bone rule: pain ≤2/10 during, none next morning — else stop, 2 days off, drop back one stage.</t>
  </si>
  <si>
    <t xml:space="preserve">WU 400 easy. MS 3×1000 @ IM pace 1:42–1:46/100m /30s + 400 pull. CD 200. Hold pace — the goal is aerobic durability, not speed.</t>
  </si>
  <si>
    <t xml:space="preserve">Long ride 6h00. First 20' Z1–low Z2, then Z2 150–175W. Middle 4h continuous @ IM power 170–182W (70–75% FTP) in aero (race rehearsal: kit, bottles, nutrition). Indoors until your outdoor kit is sorted; once outdoors, pick flat, low-traffic roads and keep the same power.</t>
  </si>
  <si>
    <t xml:space="preserve">Long run 163' (≈27.2 km). Even effort, flat route, HR capped at 149. London prep: practise 60–90 g carbs/h exactly as planned for race day. Bone rule: pain ≤2/10 during, none next morning — else stop, 2 days off, drop back one stage.</t>
  </si>
  <si>
    <t xml:space="preserve">Zwift structured. WU 15' Z1→Z2 incl. 3×30s @ 100+rpm. MS 2×12' @ 230–242W (95–100% FTP) /5' easy. Remaining time Z2 (150–170W). CD 5–10' easy. Cadence 85–100 on efforts.</t>
  </si>
  <si>
    <t xml:space="preserve">Z4 threshold: 230–242W (95–100% FTP) · easy between Z1 &lt;133W (&lt;55%) · HR &lt;130 · RPE 1–2</t>
  </si>
  <si>
    <t xml:space="preserve">Do this AFTER the bike intervals — ideally 6h+ later (bike AM, gym PM). Short maintenance: trap-bar DL 2×5, soleus raise 2×10, single-leg hops 2×10/leg, side plank 2×30s. See Strength tab.</t>
  </si>
  <si>
    <t xml:space="preserve">WU 400 + 4×50 build /15s. MS 2×(4×200 @ 1:33–1:35 /20s), 100 easy between + 4×50 @ ≤1:28 /15s. CD 200 easy (+200 pull if time).</t>
  </si>
  <si>
    <t xml:space="preserve">Easy continuous 40'. Bone rule: pain ≤2/10 during, none next morning — else stop, 2 days off, drop back one stage.</t>
  </si>
  <si>
    <t xml:space="preserve">Zwift endurance. 10' WU 120→150W, 60' steady @ 150–175W, cadence 85–95, 5' easy. Include 2×20' @ IM power 170–182W (70–75% FTP) in aero position.</t>
  </si>
  <si>
    <t xml:space="preserve">Strength B — peak</t>
  </si>
  <si>
    <t xml:space="preserve">Upper/core &amp; mobility: pull-ups 2×6, band work, Pallof press, hip mobility flow. See Strength tab.</t>
  </si>
  <si>
    <t xml:space="preserve">Long run 96' (≈16 km). Even effort, flat route, HR capped at 149. London prep: practise 60–90 g carbs/h exactly as planned for race day. Bone rule: pain ≤2/10 during, none next morning — else stop, 2 days off, drop back one stage.</t>
  </si>
  <si>
    <t xml:space="preserve">Zwift endurance. 10' WU 120→150W, 45' steady @ 150–175W, cadence 85–95, 5' easy. Include 3×5' @ IM power 170–182W (70–75% FTP) in aero position.</t>
  </si>
  <si>
    <t xml:space="preserve">Easy spin, 45' at high cadence (90–100 rpm). Last ride until 10 May.</t>
  </si>
  <si>
    <t xml:space="preserve">Travel day ✈️ — walk the aisle hourly, compression socks, hydrate.</t>
  </si>
  <si>
    <t xml:space="preserve">30' very easy to shake off the flight + 15' mobility.</t>
  </si>
  <si>
    <t xml:space="preserve">Easy 1400m: 200s &amp; 400s, mix free/pull, 20s rest. Long, smooth strokes.</t>
  </si>
  <si>
    <t xml:space="preserve">20' easy + 4 strides. Lay out kit &amp; gels.</t>
  </si>
  <si>
    <t xml:space="preserve">RACE — London Marathon (Z2 training run)</t>
  </si>
  <si>
    <t xml:space="preserve">Training day, not a PB. Run by HR: cap 149 (top of Z2), ≈5:35–5:50/km. If HR drifts above 149 after 30km, walk the aid stations. Rehearse IM run nutrition. Stop immediately with any focal shin pain.</t>
  </si>
  <si>
    <t xml:space="preserve">HR ≤149 · RPE 4–5</t>
  </si>
  <si>
    <t xml:space="preserve">60–90 g carbs/h from 20' + fluids/electrolytes at stations</t>
  </si>
  <si>
    <t xml:space="preserve">Rest — walk 30–45'.</t>
  </si>
  <si>
    <t xml:space="preserve">Gym bike endurance</t>
  </si>
  <si>
    <t xml:space="preserve">Gym bike / Wattbike (no road bike in London). Ride by HR, not watts: 10' easy, then 15' Z2 HR 130–143, 5' easy. If no bike available, swap for an extra 45' aerobic swim.</t>
  </si>
  <si>
    <t xml:space="preserve">Z2 HR 130–143 · RPE 3–4</t>
  </si>
  <si>
    <t xml:space="preserve">Mobility + upper/core</t>
  </si>
  <si>
    <t xml:space="preserve">Upper body, core, hip mobility. No leg loading.</t>
  </si>
  <si>
    <t xml:space="preserve">RPE 5</t>
  </si>
  <si>
    <t xml:space="preserve">5</t>
  </si>
  <si>
    <t xml:space="preserve">Gym bike / Wattbike (no road bike in London). Ride by HR, not watts: 10' easy, then 25' Z2 HR 130–143, 5' easy. If no bike available, swap for an extra 45' aerobic swim.</t>
  </si>
  <si>
    <t xml:space="preserve">First run back</t>
  </si>
  <si>
    <t xml:space="preserve">25' easy only if no shin/bone pain hopping 20×. Bone rule: pain ≤2/10 during, none next morning — else stop, 2 days off, drop back one stage.</t>
  </si>
  <si>
    <t xml:space="preserve">WU 300 easy + 4×50 build /15s. MS 3×400 @ 1:42–1:48/100m, 20s rest (every 2nd rep with pull buoy + paddles) + 300 steady pull. CD 200 easy. All reps ≥50m (Watch-safe).</t>
  </si>
  <si>
    <t xml:space="preserve">WU 300 easy + 4×50 build /15s. MS 5×400 @ 1:42–1:48/100m, 20s rest (every 2nd rep with pull buoy + paddles) + 100 steady pull. CD 200 easy. All reps ≥50m (Watch-safe).</t>
  </si>
  <si>
    <t xml:space="preserve">Gym bike / Wattbike (no road bike in London). Ride by HR, not watts: 10' easy, then 45' Z2 HR 130–143 incl. 3×8' at top of Z2 (HR 140–143) to touch IM effort, 5' easy. If no bike available, swap for an extra 45' aerobic swim.</t>
  </si>
  <si>
    <t xml:space="preserve">Gym bike / Wattbike (no road bike in London). Ride by HR, not watts: 10' easy, then 45' Z2 HR 130–143, 5' easy. If no bike available, swap for an extra 45' aerobic swim.</t>
  </si>
  <si>
    <t xml:space="preserve">Gym bike / Wattbike (no road bike in London). Ride by HR, not watts: 10' easy, then 60' Z2 HR 130–143 incl. 2×15' at top of Z2 (HR 140–143) to touch IM effort, 5' easy. If no bike available, swap for an extra 45' aerobic swim.</t>
  </si>
  <si>
    <t xml:space="preserve">BRICK — run straight off the bike (&lt;5' transition). 20': first 5' settle with quick cadence, then IM run effort HR 140–149. Treadmill fine. Bone rule: pain ≤2/10 during, none next morning — else stop, 2 days off, drop back one stage.</t>
  </si>
  <si>
    <t xml:space="preserve">Long run 75' (≈12.5 km). Even effort, flat route, HR capped at 149. Last 20' at IM run feel (≈5:40–5:55/km, HR ≤149). Practise IM run fuelling. Bone rule: pain ≤2/10 during, none next morning — else stop, 2 days off, drop back one stage.</t>
  </si>
  <si>
    <t xml:space="preserve">WU 400 + 4×50 build /15s. MS 2×(4×200 @ 1:33–1:35 /20s), 100 easy between + 10×50 @ ≤1:28 /15s. CD 200 easy (+200 pull if time).</t>
  </si>
  <si>
    <t xml:space="preserve">Endurance ride (heat)</t>
  </si>
  <si>
    <t xml:space="preserve">Zwift endurance. 10' WU 120→150W, 60' steady @ 150–175W, cadence 85–95, 5' easy. Include 2×20' @ IM power 170–182W (70–75% FTP) in aero position. HEAT ACCLIMATION: no fan / one extra layer, drink to thirst + 1g sodium/L; stop if HR &gt;150 or you feel unwell.</t>
  </si>
  <si>
    <t xml:space="preserve">Long ride 4h30. First 20' Z1–low Z2, then Z2 150–175W. Middle 3h continuous @ IM power 170–182W (70–75% FTP) in aero (race rehearsal: kit, bottles, nutrition). Indoors until your outdoor kit is sorted; once outdoors, pick flat, low-traffic roads and keep the same power.</t>
  </si>
  <si>
    <t xml:space="preserve">BRICK — run straight off the bike (&lt;5' transition). 30': first 5' settle with quick cadence, then IM run effort HR 140–149. Bone rule: pain ≤2/10 during, none next morning — else stop, 2 days off, drop back one stage.</t>
  </si>
  <si>
    <t xml:space="preserve">Long run 125' (≈20.8 km). Even effort, flat route, HR capped at 149. Last 20' at IM run feel (≈5:40–5:55/km, HR ≤149). Practise IM run fuelling. Bone rule: pain ≤2/10 during, none next morning — else stop, 2 days off, drop back one stage.</t>
  </si>
  <si>
    <t xml:space="preserve">Zwift structured. WU 15' Z1→Z2 incl. 3×30s @ 100+rpm. MS 3×12' @ 230–242W (95–100% FTP) /4' easy. Remaining time Z2 (150–170W). CD 5–10' easy. Cadence 85–100 on efforts.</t>
  </si>
  <si>
    <t xml:space="preserve">IM-distance swim (3.8km)</t>
  </si>
  <si>
    <t xml:space="preserve">WU 400 easy. MS 3800 CONTINUOUS @ IM pace 1:44/100m — clock checks: 1000 @17:20, 2000 @34:40, 3000 @52:00, 3800 @65:52. CD 200. Sight every 6th stroke (head-up) to rehearse.</t>
  </si>
  <si>
    <t xml:space="preserve">Long ride 5h15. First 20' Z1–low Z2, then Z2 150–175W. Middle 3.5h continuous @ IM power 170–182W (70–75% FTP) in aero (race rehearsal: kit, bottles, nutrition). Indoors until your outdoor kit is sorted; once outdoors, pick flat, low-traffic roads and keep the same power.</t>
  </si>
  <si>
    <t xml:space="preserve">BRICK — run straight off the bike (&lt;5' transition). 45': first 5' settle with quick cadence, then IM run effort HR 140–149. Bone rule: pain ≤2/10 during, none next morning — else stop, 2 days off, drop back one stage.</t>
  </si>
  <si>
    <t xml:space="preserve">Long run 120' (≈20 km). Even effort, flat route, HR capped at 149. Last 20' at IM run feel (≈5:40–5:55/km, HR ≤149). Practise IM run fuelling. Bone rule: pain ≤2/10 during, none next morning — else stop, 2 days off, drop back one stage.</t>
  </si>
  <si>
    <t xml:space="preserve">Zwift structured. WU 15' Z1→Z2 incl. 3×30s @ 100+rpm. MS 4×6' @ 242–254W (100–105% FTP) /3' easy. Remaining time Z2 (150–170W). CD 5–10' easy. Cadence 85–100 on efforts.</t>
  </si>
  <si>
    <t xml:space="preserve">Z4 threshold: 242–254W (100–105% FTP) · easy between Z1 &lt;133W (&lt;55%) · HR &lt;130 · RPE 1–2</t>
  </si>
  <si>
    <t xml:space="preserve">Zwift endurance. 10' WU 120→150W, 55' steady @ 150–175W, cadence 85–95, 5' easy. Include 2×15' @ IM power 170–182W (70–75% FTP) in aero position. HEAT ACCLIMATION: no fan / one extra layer, drink to thirst + 1g sodium/L; stop if HR &gt;150 or you feel unwell.</t>
  </si>
  <si>
    <t xml:space="preserve">Long ride 4h00. First 20' Z1–low Z2, then Z2 150–175W. Middle 2.5h continuous @ IM power 170–182W (70–75% FTP) in aero (race rehearsal: kit, bottles, nutrition). Indoors until your outdoor kit is sorted; once outdoors, pick flat, low-traffic roads and keep the same power.</t>
  </si>
  <si>
    <t xml:space="preserve">Long run 95' (≈15.8 km). Even effort, flat route, HR capped at 149. Last 20' at IM run feel (≈5:40–5:55/km, HR ≤149). Practise IM run fuelling. Bone rule: pain ≤2/10 during, none next morning — else stop, 2 days off, drop back one stage.</t>
  </si>
  <si>
    <t xml:space="preserve">Zwift structured. WU 15' Z1→Z2 incl. 3×30s @ 100+rpm. MS 3×5' @ 237–249W (98–103% FTP) /3' easy. Remaining time Z2 (150–170W). CD 5–10' easy. Cadence 85–100 on efforts.</t>
  </si>
  <si>
    <t xml:space="preserve">Z4 threshold: 237–249W (98–103% FTP) · easy between Z1 &lt;133W (&lt;55%) · HR &lt;130 · RPE 1–2</t>
  </si>
  <si>
    <t xml:space="preserve">Zwift endurance. 10' WU 120→150W, 45' steady @ 150–175W, cadence 85–95, 5' easy. Include 2×10' @ IM power 170–182W (70–75% FTP) in aero position. HEAT ACCLIMATION: no fan / one extra layer, drink to thirst + 1g sodium/L; stop if HR &gt;150 or you feel unwell.</t>
  </si>
  <si>
    <t xml:space="preserve">Long ride 2h30. First 20' Z1–low Z2, then Z2 150–175W. Middle 1h continuous @ IM power 170–182W (70–75% FTP) in aero (race rehearsal: kit, bottles, nutrition). Indoors until your outdoor kit is sorted; once outdoors, pick flat, low-traffic roads and keep the same power.</t>
  </si>
  <si>
    <t xml:space="preserve">Long run 60' (≈10 km). Even effort, flat route, HR capped at 149. Last 20' at IM run feel (≈5:40–5:55/km, HR ≤149). Practise IM run fuelling. Bone rule: pain ≤2/10 during, none next morning — else stop, 2 days off, drop back one stage.</t>
  </si>
  <si>
    <t xml:space="preserve">Easy 1600m: 200s &amp; 400s, mix free/pull, 20s rest. Long, smooth strokes.</t>
  </si>
  <si>
    <t xml:space="preserve">Easy continuous 25'. Finish with 6×20s relaxed strides (not sprints), walk back recovery. Bone rule: pain ≤2/10 during, none next morning — else stop, 2 days off, drop back one stage.</t>
  </si>
  <si>
    <t xml:space="preserve">60' easy with 3×2' @ IM power (176W) and 3×30s @ 250W, full recovery. Check gears/brakes.</t>
  </si>
  <si>
    <t xml:space="preserve">Easy + strides</t>
  </si>
  <si>
    <t xml:space="preserve">20' easy + 4×20s strides.</t>
  </si>
  <si>
    <t xml:space="preserve">3</t>
  </si>
  <si>
    <t xml:space="preserve">40' easy with 3×2' @ IM power (176W) and 3×30s @ 250W, full recovery. Check gears/brakes.</t>
  </si>
  <si>
    <t xml:space="preserve">Travel to Cairns if not already there.</t>
  </si>
  <si>
    <t xml:space="preserve">15' easy on part of the run course.</t>
  </si>
  <si>
    <t xml:space="preserve">25' easy with 3×2' @ IM power (176W) and 3×30s @ 250W, full recovery. Check gears/brakes.</t>
  </si>
  <si>
    <t xml:space="preserve">Bike check-in. Feet up.</t>
  </si>
  <si>
    <t xml:space="preserve">RACE — IRONMAN Cairns 🏁</t>
  </si>
  <si>
    <t xml:space="preserve">Swim 3.8km @ 1:42–1:46/100m (~66'). Bike 180km @ 70–75% FTP NP (170–182W at 242W; ~188–200W if FTP reaches 268W), HR ≤145, cap 220W on rises. Set the final number from the wk-22 FTP test and T100. Run 42.2km: HR 140–149 first 30km (≈5:50–6:15/km), walk aid stations from km 1, then empty the tank. See Race Day tab.</t>
  </si>
  <si>
    <t xml:space="preserve">Swim Z2 · Bike 70–75% FTP · Run HR ≤149</t>
  </si>
  <si>
    <t xml:space="preserve">Bike 90–100 g carbs/h, Run 60–90 g/h, 700–1000mg sodium/h</t>
  </si>
  <si>
    <t xml:space="preserve">Training zones</t>
  </si>
  <si>
    <t xml:space="preserve">Yellow cells are inputs. Update them after each test; every zone recalculates.</t>
  </si>
  <si>
    <t xml:space="preserve">Bike FTP (W)</t>
  </si>
  <si>
    <t xml:space="preserve">Source: your ramp test (Sep 2026)</t>
  </si>
  <si>
    <t xml:space="preserve">Bike LTHR (bpm)</t>
  </si>
  <si>
    <t xml:space="preserve">Source: you (Oct 2026)</t>
  </si>
  <si>
    <t xml:space="preserve">Bike max HR</t>
  </si>
  <si>
    <t xml:space="preserve">Run LTHR (bpm)</t>
  </si>
  <si>
    <t xml:space="preserve">Run max HR</t>
  </si>
  <si>
    <t xml:space="preserve">Swim LTHR (bpm)</t>
  </si>
  <si>
    <t xml:space="preserve">Swim max HR</t>
  </si>
  <si>
    <t xml:space="preserve">Swim CSS (sec per 100m)</t>
  </si>
  <si>
    <t xml:space="preserve">Source: CSS test (Sep 2026). 94s = 1:34/100m</t>
  </si>
  <si>
    <t xml:space="preserve">Bike — power (% FTP, Coggan) &amp; HR (% LTHR, Friel)</t>
  </si>
  <si>
    <t xml:space="preserve">Zone</t>
  </si>
  <si>
    <t xml:space="preserve">Power low (W)</t>
  </si>
  <si>
    <t xml:space="preserve">Power high (W)</t>
  </si>
  <si>
    <t xml:space="preserve">HR range</t>
  </si>
  <si>
    <t xml:space="preserve">Use</t>
  </si>
  <si>
    <t xml:space="preserve">Z1 Recovery</t>
  </si>
  <si>
    <t xml:space="preserve">Recovery spins, warm-ups</t>
  </si>
  <si>
    <t xml:space="preserve">Z2 Endurance</t>
  </si>
  <si>
    <t xml:space="preserve">Most riding. IM power = 70–75% from wk 15 (row below)</t>
  </si>
  <si>
    <t xml:space="preserve">  IM race power (sub-11)</t>
  </si>
  <si>
    <t xml:space="preserve">Ironman target; base weeks 1–14 use 66–71%</t>
  </si>
  <si>
    <t xml:space="preserve">Z3 Tempo (avoid)</t>
  </si>
  <si>
    <t xml:space="preserve">Grey zone; T100 race effort only</t>
  </si>
  <si>
    <t xml:space="preserve">Z4 Threshold</t>
  </si>
  <si>
    <t xml:space="preserve">Threshold intervals</t>
  </si>
  <si>
    <t xml:space="preserve">Z5 VO2max</t>
  </si>
  <si>
    <t xml:space="preserve">3–6' intervals</t>
  </si>
  <si>
    <t xml:space="preserve">Run — HR (% LTHR, Friel). Run by HR while the tibia rebuilds; pace is a guide only.</t>
  </si>
  <si>
    <t xml:space="preserve">HR low</t>
  </si>
  <si>
    <t xml:space="preserve">HR high</t>
  </si>
  <si>
    <t xml:space="preserve">% LTHR</t>
  </si>
  <si>
    <t xml:space="preserve">&lt;85%</t>
  </si>
  <si>
    <t xml:space="preserve">Walk-run, shakeouts</t>
  </si>
  <si>
    <t xml:space="preserve">Z2 Aerobic</t>
  </si>
  <si>
    <t xml:space="preserve">85–89%</t>
  </si>
  <si>
    <t xml:space="preserve">Easy and long runs. HARD CAP. London + IM run</t>
  </si>
  <si>
    <t xml:space="preserve">90–94%</t>
  </si>
  <si>
    <t xml:space="preserve">Grey zone</t>
  </si>
  <si>
    <t xml:space="preserve">95–99%</t>
  </si>
  <si>
    <t xml:space="preserve">Cruise intervals (from wk 16)</t>
  </si>
  <si>
    <t xml:space="preserve">Z5 VO2</t>
  </si>
  <si>
    <t xml:space="preserve">100%+</t>
  </si>
  <si>
    <t xml:space="preserve">Not used this season</t>
  </si>
  <si>
    <t xml:space="preserve">Swim — pace from CSS (HR from your wrist is unreliable in water; use pace + RPE)</t>
  </si>
  <si>
    <t xml:space="preserve">Pace fast (/100m)</t>
  </si>
  <si>
    <t xml:space="preserve">Pace slow (/100m)</t>
  </si>
  <si>
    <t xml:space="preserve">HR (guide)</t>
  </si>
  <si>
    <t xml:space="preserve">Easy / recovery</t>
  </si>
  <si>
    <t xml:space="preserve">Z2 Aerobic / IM pace</t>
  </si>
  <si>
    <t xml:space="preserve">Aerobic sets; IM target pace = CSS+10s</t>
  </si>
  <si>
    <t xml:space="preserve">Z3 Tempo (minimise)</t>
  </si>
  <si>
    <t xml:space="preserve">Rarely</t>
  </si>
  <si>
    <t xml:space="preserve">Z4 CSS / threshold</t>
  </si>
  <si>
    <t xml:space="preserve">CSS sets</t>
  </si>
  <si>
    <t xml:space="preserve">Z5 Speed</t>
  </si>
  <si>
    <t xml:space="preserve">50s fast</t>
  </si>
  <si>
    <t xml:space="preserve">Sub-11 tracker</t>
  </si>
  <si>
    <t xml:space="preserve">Enter your test results in the yellow cells. Status updates automatically.</t>
  </si>
  <si>
    <t xml:space="preserve">FTP checkpoint</t>
  </si>
  <si>
    <t xml:space="preserve">Target FTP (W)</t>
  </si>
  <si>
    <t xml:space="preserve">Actual FTP (W)</t>
  </si>
  <si>
    <t xml:space="preserve">Status</t>
  </si>
  <si>
    <t xml:space="preserve">Baseline (Sep ramp test)</t>
  </si>
  <si>
    <t xml:space="preserve">Sep 2026</t>
  </si>
  <si>
    <t xml:space="preserve">Source: your Zwift ramp test.</t>
  </si>
  <si>
    <t xml:space="preserve">Week 6 ramp test</t>
  </si>
  <si>
    <t xml:space="preserve">Sat 21 Nov 2026</t>
  </si>
  <si>
    <t xml:space="preserve">+10W: realistic after 6 weeks of base.</t>
  </si>
  <si>
    <t xml:space="preserve">Week 14 ramp test</t>
  </si>
  <si>
    <t xml:space="preserve">Tue 12 Jan 2027</t>
  </si>
  <si>
    <t xml:space="preserve">On track for sub-11 if at or above target.</t>
  </si>
  <si>
    <t xml:space="preserve">Week 22 ramp test</t>
  </si>
  <si>
    <t xml:space="preserve">Tue 9 Mar 2027</t>
  </si>
  <si>
    <t xml:space="preserve">Sets T100 and Cairns race power.</t>
  </si>
  <si>
    <t xml:space="preserve">Race FTP needed</t>
  </si>
  <si>
    <t xml:space="preserve">13 Jun 2027</t>
  </si>
  <si>
    <t xml:space="preserve">~270W lets 190–200W NP be ~72% FTP.</t>
  </si>
  <si>
    <t xml:space="preserve">Race power from latest FTP</t>
  </si>
  <si>
    <t xml:space="preserve">Latest FTP (W)</t>
  </si>
  <si>
    <t xml:space="preserve">IM NP at 70% / 75% (W)</t>
  </si>
  <si>
    <t xml:space="preserve">W/kg at 75% (80kg)</t>
  </si>
  <si>
    <t xml:space="preserve">Split targets</t>
  </si>
  <si>
    <t xml:space="preserve">Leg</t>
  </si>
  <si>
    <t xml:space="preserve">Sub-11</t>
  </si>
  <si>
    <t xml:space="preserve">Fallback</t>
  </si>
  <si>
    <t xml:space="preserve">Key requirement</t>
  </si>
  <si>
    <t xml:space="preserve">Swim 3.8km</t>
  </si>
  <si>
    <t xml:space="preserve">1:05</t>
  </si>
  <si>
    <t xml:space="preserve">1:07</t>
  </si>
  <si>
    <t xml:space="preserve">1:42/100m incl. sighting; open water from wk 17.</t>
  </si>
  <si>
    <t xml:space="preserve">T1 + T2</t>
  </si>
  <si>
    <t xml:space="preserve">0:10</t>
  </si>
  <si>
    <t xml:space="preserve">0:12</t>
  </si>
  <si>
    <t xml:space="preserve">Practise at the T100; Cairns transitions are long.</t>
  </si>
  <si>
    <t xml:space="preserve">Bike 180km</t>
  </si>
  <si>
    <t xml:space="preserve">5:30</t>
  </si>
  <si>
    <t xml:space="preserve">5:50</t>
  </si>
  <si>
    <t xml:space="preserve">190–200W NP in aero; TT bike fitted by ~January.</t>
  </si>
  <si>
    <t xml:space="preserve">Run 42.2km</t>
  </si>
  <si>
    <t xml:space="preserve">4:10</t>
  </si>
  <si>
    <t xml:space="preserve">4:15</t>
  </si>
  <si>
    <t xml:space="preserve">HR ≤149 to 30km; walk aid stations; tibia healthy.</t>
  </si>
  <si>
    <t xml:space="preserve">Total</t>
  </si>
  <si>
    <t xml:space="preserve">10:55</t>
  </si>
  <si>
    <t xml:space="preserve">11:24</t>
  </si>
  <si>
    <t xml:space="preserve">T100 go/no-go test (Sun 21 Mar)</t>
  </si>
  <si>
    <t xml:space="preserve">Bike 80km at ~200W NP (or ≥74% of FTP) with HR ≤150 in aero.</t>
  </si>
  <si>
    <t xml:space="preserve">Run 18km at HR ≤149 for 12km, finishing strong with no fade and no shin pain.</t>
  </si>
  <si>
    <t xml:space="preserve">Both met → race Cairns for sub-11. Either missed → race the fallback plan (~11:15–11:30).</t>
  </si>
  <si>
    <t xml:space="preserve">Phase (weeks)</t>
  </si>
  <si>
    <t xml:space="preserve">Exercises (sets × reps)</t>
  </si>
  <si>
    <t xml:space="preserve">Load / notes</t>
  </si>
  <si>
    <t xml:space="preserve">Base (1–14)</t>
  </si>
  <si>
    <t xml:space="preserve">A — Tue, after bike intervals</t>
  </si>
  <si>
    <t xml:space="preserve">Lower — max strength &amp; bone loading: back squat or trap-bar DL 4×6, Bulgarian split squat 3×8/leg, seated soleus raise 3×12 heavy, single-leg calf raise 3×15, tibialis raise 3×15, pogo hops 3×20 (progress to single-leg hops from wk 8), Copenhagen plank 3×20s.</t>
  </si>
  <si>
    <t xml:space="preserve">Wks 1–5: 3×8–10 at RPE 7 to learn; wks 7–13: 4×5–6 heavy (2 reps in reserve). Hops: start double-leg pogos; single-leg from wk 8 only if pain-free.</t>
  </si>
  <si>
    <t xml:space="preserve">B — Thu</t>
  </si>
  <si>
    <t xml:space="preserve">Posterior chain + upper: Romanian DL 3×8, hip thrust 3×10, step-ups 3×8/leg, pull-ups 4×6, push-ups or DB press 3×10, single-arm row 3×10, Pallof press 3×10, dead bug 3×10.</t>
  </si>
  <si>
    <t xml:space="preserve">Moderate–heavy, 2 RIR. Keep 48h before Sat long ride.</t>
  </si>
  <si>
    <t xml:space="preserve">Build (15–30)</t>
  </si>
  <si>
    <t xml:space="preserve">Lower — maintenance (heavy, low volume): trap-bar DL 3×5, split squat 2×6/leg, soleus raise 3×10 heavy, single-leg hops 3×10/leg, box jump 3×5, side plank 2×30s.</t>
  </si>
  <si>
    <t xml:space="preserve">Maintain max strength in fewer sets. Explosive intent on hops/jumps.</t>
  </si>
  <si>
    <t xml:space="preserve">B — Fri</t>
  </si>
  <si>
    <t xml:space="preserve">Upper/core/hips (light legs — long ride tomorrow): pull-ups 3×6, band pull-aparts 3×15, DB press 3×8, lateral band walks 2×15, single-leg RDL 2×8 (light), Pallof press 3×10, swimmer's Y-T-W 2×10.</t>
  </si>
  <si>
    <t xml:space="preserve">Deliberately light on legs: big ride on Saturday.</t>
  </si>
  <si>
    <t xml:space="preserve">Peak (31–33)</t>
  </si>
  <si>
    <t xml:space="preserve">Short maintenance: trap-bar DL 2×5, soleus raise 2×10, single-leg hops 2×10/leg, side plank 2×30s.</t>
  </si>
  <si>
    <t xml:space="preserve">20–30 min. Nothing to failure.</t>
  </si>
  <si>
    <t xml:space="preserve">Upper/core &amp; mobility: pull-ups 2×6, band work, Pallof press, hip mobility flow.</t>
  </si>
  <si>
    <t xml:space="preserve">Mobility focus.</t>
  </si>
  <si>
    <t xml:space="preserve">Taper (34)</t>
  </si>
  <si>
    <t xml:space="preserve">A — Tue only</t>
  </si>
  <si>
    <t xml:space="preserve">Short maintenance as Peak A at ~60% load.</t>
  </si>
  <si>
    <t xml:space="preserve">Last strength session: Tue 1 Jun. None in race week.</t>
  </si>
  <si>
    <t xml:space="preserve">Recovery weeks</t>
  </si>
  <si>
    <t xml:space="preserve">A &amp; B</t>
  </si>
  <si>
    <t xml:space="preserve">Same exercises, ~2/3 sets, 20–30% lighter.</t>
  </si>
  <si>
    <t xml:space="preserve">Leave feeling fresher than you started.</t>
  </si>
  <si>
    <t xml:space="preserve">Race execution</t>
  </si>
  <si>
    <t xml:space="preserve">IRONMAN Cairns — Sun 13 Jun 2027</t>
  </si>
  <si>
    <t xml:space="preserve">Target 1:42–1:46/100m (~64–68'). Start wide and calm for the first 200m, find feet, sight every 6–9 strokes. Z2 effort; you should exit feeling you held back.</t>
  </si>
  <si>
    <t xml:space="preserve">70–75% FTP NP: 170–182W at today's 242W, ~188–200W if FTP reaches 268W. Set the final number after the wk-22 test and the T100. HR ≤145. Cap rises at 220W. Sub-11 needs ~5:30; a fallback day is ~5:50–6:05. Eat on a timer: 90–100 g carbs/h, 700–1000 mg sodium/h, 600–900 ml/h; more fluid if hot.</t>
  </si>
  <si>
    <t xml:space="preserve">Km 0–10: HR 135–145, run slower than it feels you should (≈6:00–6:15/km). Km 10–30: HR ≤149, walk 10–20s at every aid station. Km 30–42: race whatever is left. Carbs 60–90 g/h (gels + cola late), sodium 500–800 mg/h.</t>
  </si>
  <si>
    <t xml:space="preserve">Sub-11 target</t>
  </si>
  <si>
    <t xml:space="preserve">Swim ~1:05 + T1/T2 ~10' + bike ~5:30 + run ~4:10 ≈ 10:55. Needs FTP ~265–275W and a fitted TT bike. See the Sub-11 tab.</t>
  </si>
  <si>
    <t xml:space="preserve">If the T100 test isn't met: bike ~5:50 at 68–70% FTP, run ~4:15 → ~11:15–11:30. A well-run 11:20 beats a sub-11 attempt that falls apart at 25km.</t>
  </si>
  <si>
    <t xml:space="preserve">Carb load</t>
  </si>
  <si>
    <t xml:space="preserve">Fri–Sat: 8–10 g carbs/kg (≈640–800 g/day), low fibre. Race breakfast 3h before: 120–160 g carbs.</t>
  </si>
  <si>
    <t xml:space="preserve">Gold Coast T100 — Sun 21 Mar 2027 (2km / 80km / 18km)</t>
  </si>
  <si>
    <t xml:space="preserve">Purpose</t>
  </si>
  <si>
    <t xml:space="preserve">IM rehearsal: wetsuit, mass start, transitions, nutrition. Not an all-out effort, because London is 5 weeks later.</t>
  </si>
  <si>
    <t xml:space="preserve">Targets</t>
  </si>
  <si>
    <t xml:space="preserve">Swim 1:40–1:44/100m · Bike 175–190W (72–78% FTP), HR ≤150 · Run HR ≤149 for 12km, then ≤155 if the tibia is quiet.</t>
  </si>
  <si>
    <t xml:space="preserve">London Marathon — Sun 25 Apr 2027</t>
  </si>
  <si>
    <t xml:space="preserve">A long Z2 training run in a great atmosphere. Not a PB.</t>
  </si>
  <si>
    <t xml:space="preserve">HR cap 149 (≈5:35–5:50/km → ~4:00). Fuel 60–90 g/h exactly as at Cairns. Stop if you get focal shin pain.</t>
  </si>
  <si>
    <t xml:space="preserve">After</t>
  </si>
  <si>
    <t xml:space="preserve">5 days no running · swim, walk, gym bike · first run Sat 1 May only if pain-free hopping.</t>
  </si>
</sst>
</file>

<file path=xl/styles.xml><?xml version="1.0" encoding="utf-8"?>
<styleSheet xmlns="http://schemas.openxmlformats.org/spreadsheetml/2006/main">
  <numFmts count="6">
    <numFmt numFmtId="164" formatCode="General"/>
    <numFmt numFmtId="165" formatCode="d\ mmm\ yy"/>
    <numFmt numFmtId="166" formatCode="0.0"/>
    <numFmt numFmtId="167" formatCode="0.0%"/>
    <numFmt numFmtId="168" formatCode="ddd\ d\ mmm\ yy"/>
    <numFmt numFmtId="169"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1"/>
      <color rgb="FF1F3A5F"/>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10"/>
      <name val="Arial"/>
      <family val="0"/>
      <charset val="1"/>
    </font>
    <font>
      <b val="true"/>
      <sz val="10"/>
      <color rgb="FF0000FF"/>
      <name val="Arial"/>
      <family val="0"/>
      <charset val="1"/>
    </font>
    <font>
      <i val="true"/>
      <sz val="9"/>
      <color rgb="FF595959"/>
      <name val="Arial"/>
      <family val="0"/>
      <charset val="1"/>
    </font>
  </fonts>
  <fills count="10">
    <fill>
      <patternFill patternType="none"/>
    </fill>
    <fill>
      <patternFill patternType="gray125"/>
    </fill>
    <fill>
      <patternFill patternType="solid">
        <fgColor rgb="FF1F3A5F"/>
        <bgColor rgb="FF333399"/>
      </patternFill>
    </fill>
    <fill>
      <patternFill patternType="solid">
        <fgColor rgb="FFF2F2F2"/>
        <bgColor rgb="FFEDE7F6"/>
      </patternFill>
    </fill>
    <fill>
      <patternFill patternType="solid">
        <fgColor rgb="FFE2EFDA"/>
        <bgColor rgb="FFDDEBF7"/>
      </patternFill>
    </fill>
    <fill>
      <patternFill patternType="solid">
        <fgColor rgb="FFFFD966"/>
        <bgColor rgb="FFFCE4D6"/>
      </patternFill>
    </fill>
    <fill>
      <patternFill patternType="solid">
        <fgColor rgb="FFDDEBF7"/>
        <bgColor rgb="FFEDE7F6"/>
      </patternFill>
    </fill>
    <fill>
      <patternFill patternType="solid">
        <fgColor rgb="FFEDE7F6"/>
        <bgColor rgb="FFF2F2F2"/>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5" fontId="8"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5" fillId="9"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4B6B6"/>
        </patternFill>
      </fill>
    </dxf>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D966"/>
          <bgColor rgb="FF000000"/>
        </patternFill>
      </fill>
    </dxf>
    <dxf>
      <font>
        <name val="Arial"/>
        <charset val="1"/>
        <family val="0"/>
        <color rgb="FF7F7F7F"/>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DE7F6"/>
      <rgbColor rgb="FF7F7F7F"/>
      <rgbColor rgb="FF5B9BD5"/>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4B6B6"/>
      <rgbColor rgb="FFCC99FF"/>
      <rgbColor rgb="FFFFD966"/>
      <rgbColor rgb="FF3366FF"/>
      <rgbColor rgb="FF33CCCC"/>
      <rgbColor rgb="FF99CC00"/>
      <rgbColor rgb="FFFFC000"/>
      <rgbColor rgb="FFFF9900"/>
      <rgbColor rgb="FFED7D31"/>
      <rgbColor rgb="FF8064A2"/>
      <rgbColor rgb="FF878787"/>
      <rgbColor rgb="FF1F3A5F"/>
      <rgbColor rgb="FF70AD47"/>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hours by sport</a:t>
            </a:r>
          </a:p>
        </c:rich>
      </c:tx>
      <c:overlay val="0"/>
      <c:spPr>
        <a:noFill/>
        <a:ln w="0">
          <a:noFill/>
        </a:ln>
      </c:spPr>
    </c:title>
    <c:autoTitleDeleted val="0"/>
    <c:plotArea>
      <c:barChart>
        <c:barDir val="col"/>
        <c:grouping val="stacked"/>
        <c:varyColors val="0"/>
        <c:ser>
          <c:idx val="0"/>
          <c:order val="0"/>
          <c:tx>
            <c:strRef>
              <c:f>'Weekly Summary'!G1</c:f>
              <c:strCache>
                <c:ptCount val="1"/>
                <c:pt idx="0">
                  <c:v>Swim h</c:v>
                </c:pt>
              </c:strCache>
            </c:strRef>
          </c:tx>
          <c:spPr>
            <a:solidFill>
              <a:srgbClr val="5b9bd5"/>
            </a:solidFill>
            <a:ln w="0">
              <a:solidFill>
                <a:srgbClr val="5b9bd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Summary'!$A$2:$A$36</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'Weekly Summary'!$G$2:$G$36</c:f>
              <c:numCache>
                <c:formatCode>0.0</c:formatCode>
                <c:ptCount val="35"/>
                <c:pt idx="0">
                  <c:v>2.41666666666667</c:v>
                </c:pt>
                <c:pt idx="1">
                  <c:v>1.5</c:v>
                </c:pt>
                <c:pt idx="2">
                  <c:v>2.33333333333333</c:v>
                </c:pt>
                <c:pt idx="3">
                  <c:v>2.5</c:v>
                </c:pt>
                <c:pt idx="4">
                  <c:v>2.75</c:v>
                </c:pt>
                <c:pt idx="5">
                  <c:v>2.16666666666667</c:v>
                </c:pt>
                <c:pt idx="6">
                  <c:v>2.75</c:v>
                </c:pt>
                <c:pt idx="7">
                  <c:v>3</c:v>
                </c:pt>
                <c:pt idx="8">
                  <c:v>3</c:v>
                </c:pt>
                <c:pt idx="9">
                  <c:v>2.16666666666667</c:v>
                </c:pt>
                <c:pt idx="10">
                  <c:v>2.75</c:v>
                </c:pt>
                <c:pt idx="11">
                  <c:v>3</c:v>
                </c:pt>
                <c:pt idx="12">
                  <c:v>3.16666666666667</c:v>
                </c:pt>
                <c:pt idx="13">
                  <c:v>2.16666666666667</c:v>
                </c:pt>
                <c:pt idx="14">
                  <c:v>3.08333333333333</c:v>
                </c:pt>
                <c:pt idx="15">
                  <c:v>3.16666666666667</c:v>
                </c:pt>
                <c:pt idx="16">
                  <c:v>2.91666666666667</c:v>
                </c:pt>
                <c:pt idx="17">
                  <c:v>2</c:v>
                </c:pt>
                <c:pt idx="18">
                  <c:v>2.91666666666667</c:v>
                </c:pt>
                <c:pt idx="19">
                  <c:v>3.16666666666667</c:v>
                </c:pt>
                <c:pt idx="20">
                  <c:v>3.16666666666667</c:v>
                </c:pt>
                <c:pt idx="21">
                  <c:v>2.33333333333333</c:v>
                </c:pt>
                <c:pt idx="22">
                  <c:v>2.08333333333333</c:v>
                </c:pt>
                <c:pt idx="23">
                  <c:v>2.41666666666667</c:v>
                </c:pt>
                <c:pt idx="24">
                  <c:v>3.08333333333333</c:v>
                </c:pt>
                <c:pt idx="25">
                  <c:v>3.16666666666667</c:v>
                </c:pt>
                <c:pt idx="26">
                  <c:v>3</c:v>
                </c:pt>
                <c:pt idx="27">
                  <c:v>1.16666666666667</c:v>
                </c:pt>
                <c:pt idx="28">
                  <c:v>2.08333333333333</c:v>
                </c:pt>
                <c:pt idx="29">
                  <c:v>2.83333333333333</c:v>
                </c:pt>
                <c:pt idx="30">
                  <c:v>3</c:v>
                </c:pt>
                <c:pt idx="31">
                  <c:v>3.41666666666667</c:v>
                </c:pt>
                <c:pt idx="32">
                  <c:v>2.83333333333333</c:v>
                </c:pt>
                <c:pt idx="33">
                  <c:v>2.25</c:v>
                </c:pt>
                <c:pt idx="34">
                  <c:v>1.58333333333333</c:v>
                </c:pt>
              </c:numCache>
            </c:numRef>
          </c:val>
        </c:ser>
        <c:ser>
          <c:idx val="1"/>
          <c:order val="1"/>
          <c:tx>
            <c:strRef>
              <c:f>'Weekly Summary'!H1</c:f>
              <c:strCache>
                <c:ptCount val="1"/>
                <c:pt idx="0">
                  <c:v>Bike h</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Summary'!$A$2:$A$36</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'Weekly Summary'!$H$2:$H$36</c:f>
              <c:numCache>
                <c:formatCode>0.0</c:formatCode>
                <c:ptCount val="35"/>
                <c:pt idx="0">
                  <c:v>4</c:v>
                </c:pt>
                <c:pt idx="1">
                  <c:v>2.75</c:v>
                </c:pt>
                <c:pt idx="2">
                  <c:v>3.25</c:v>
                </c:pt>
                <c:pt idx="3">
                  <c:v>3.5</c:v>
                </c:pt>
                <c:pt idx="4">
                  <c:v>3.83333333333333</c:v>
                </c:pt>
                <c:pt idx="5">
                  <c:v>2.16666666666667</c:v>
                </c:pt>
                <c:pt idx="6">
                  <c:v>4.58333333333333</c:v>
                </c:pt>
                <c:pt idx="7">
                  <c:v>5.33333333333333</c:v>
                </c:pt>
                <c:pt idx="8">
                  <c:v>5.75</c:v>
                </c:pt>
                <c:pt idx="9">
                  <c:v>3.5</c:v>
                </c:pt>
                <c:pt idx="10">
                  <c:v>5.41666666666667</c:v>
                </c:pt>
                <c:pt idx="11">
                  <c:v>6</c:v>
                </c:pt>
                <c:pt idx="12">
                  <c:v>6.5</c:v>
                </c:pt>
                <c:pt idx="13">
                  <c:v>4.25</c:v>
                </c:pt>
                <c:pt idx="14">
                  <c:v>6.83333333333333</c:v>
                </c:pt>
                <c:pt idx="15">
                  <c:v>7.16666666666667</c:v>
                </c:pt>
                <c:pt idx="16">
                  <c:v>7.66666666666667</c:v>
                </c:pt>
                <c:pt idx="17">
                  <c:v>5.5</c:v>
                </c:pt>
                <c:pt idx="18">
                  <c:v>7.91666666666667</c:v>
                </c:pt>
                <c:pt idx="19">
                  <c:v>8.33333333333333</c:v>
                </c:pt>
                <c:pt idx="20">
                  <c:v>8.66666666666667</c:v>
                </c:pt>
                <c:pt idx="21">
                  <c:v>5.5</c:v>
                </c:pt>
                <c:pt idx="22">
                  <c:v>2.33333333333333</c:v>
                </c:pt>
                <c:pt idx="23">
                  <c:v>4.75</c:v>
                </c:pt>
                <c:pt idx="24">
                  <c:v>8.83333333333333</c:v>
                </c:pt>
                <c:pt idx="25">
                  <c:v>9.33333333333333</c:v>
                </c:pt>
                <c:pt idx="26">
                  <c:v>7</c:v>
                </c:pt>
                <c:pt idx="27">
                  <c:v>1.75</c:v>
                </c:pt>
                <c:pt idx="28">
                  <c:v>1.16666666666667</c:v>
                </c:pt>
                <c:pt idx="29">
                  <c:v>3.25</c:v>
                </c:pt>
                <c:pt idx="30">
                  <c:v>7.75</c:v>
                </c:pt>
                <c:pt idx="31">
                  <c:v>8.5</c:v>
                </c:pt>
                <c:pt idx="32">
                  <c:v>7.08333333333333</c:v>
                </c:pt>
                <c:pt idx="33">
                  <c:v>5</c:v>
                </c:pt>
                <c:pt idx="34">
                  <c:v>2.08333333333333</c:v>
                </c:pt>
              </c:numCache>
            </c:numRef>
          </c:val>
        </c:ser>
        <c:ser>
          <c:idx val="2"/>
          <c:order val="2"/>
          <c:tx>
            <c:strRef>
              <c:f>'Weekly Summary'!I1</c:f>
              <c:strCache>
                <c:ptCount val="1"/>
                <c:pt idx="0">
                  <c:v>Run h</c:v>
                </c:pt>
              </c:strCache>
            </c:strRef>
          </c:tx>
          <c:spPr>
            <a:solidFill>
              <a:srgbClr val="ed7d31"/>
            </a:solidFill>
            <a:ln w="0">
              <a:solidFill>
                <a:srgbClr val="ed7d3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Summary'!$A$2:$A$36</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'Weekly Summary'!$I$2:$I$36</c:f>
              <c:numCache>
                <c:formatCode>0.0</c:formatCode>
                <c:ptCount val="35"/>
                <c:pt idx="0">
                  <c:v>0</c:v>
                </c:pt>
                <c:pt idx="1">
                  <c:v>0</c:v>
                </c:pt>
                <c:pt idx="2">
                  <c:v>1</c:v>
                </c:pt>
                <c:pt idx="3">
                  <c:v>1.25</c:v>
                </c:pt>
                <c:pt idx="4">
                  <c:v>1.5</c:v>
                </c:pt>
                <c:pt idx="5">
                  <c:v>1.5</c:v>
                </c:pt>
                <c:pt idx="6">
                  <c:v>1.5</c:v>
                </c:pt>
                <c:pt idx="7">
                  <c:v>1.41666666666667</c:v>
                </c:pt>
                <c:pt idx="8">
                  <c:v>1.83333333333333</c:v>
                </c:pt>
                <c:pt idx="9">
                  <c:v>1.5</c:v>
                </c:pt>
                <c:pt idx="10">
                  <c:v>1.96666666666667</c:v>
                </c:pt>
                <c:pt idx="11">
                  <c:v>2.15</c:v>
                </c:pt>
                <c:pt idx="12">
                  <c:v>2.33333333333333</c:v>
                </c:pt>
                <c:pt idx="13">
                  <c:v>1.83333333333333</c:v>
                </c:pt>
                <c:pt idx="14">
                  <c:v>2.53333333333333</c:v>
                </c:pt>
                <c:pt idx="15">
                  <c:v>2.71666666666667</c:v>
                </c:pt>
                <c:pt idx="16">
                  <c:v>2.9</c:v>
                </c:pt>
                <c:pt idx="17">
                  <c:v>2.41666666666667</c:v>
                </c:pt>
                <c:pt idx="18">
                  <c:v>3.1</c:v>
                </c:pt>
                <c:pt idx="19">
                  <c:v>3.36666666666667</c:v>
                </c:pt>
                <c:pt idx="20">
                  <c:v>3.66666666666667</c:v>
                </c:pt>
                <c:pt idx="21">
                  <c:v>3.33333333333333</c:v>
                </c:pt>
                <c:pt idx="22">
                  <c:v>1.16666666666667</c:v>
                </c:pt>
                <c:pt idx="23">
                  <c:v>2.5</c:v>
                </c:pt>
                <c:pt idx="24">
                  <c:v>4</c:v>
                </c:pt>
                <c:pt idx="25">
                  <c:v>4.38333333333333</c:v>
                </c:pt>
                <c:pt idx="26">
                  <c:v>3.51666666666667</c:v>
                </c:pt>
                <c:pt idx="27">
                  <c:v>1.33333333333333</c:v>
                </c:pt>
                <c:pt idx="28">
                  <c:v>0.416666666666667</c:v>
                </c:pt>
                <c:pt idx="29">
                  <c:v>3.25</c:v>
                </c:pt>
                <c:pt idx="30">
                  <c:v>4.58333333333333</c:v>
                </c:pt>
                <c:pt idx="31">
                  <c:v>4.83333333333333</c:v>
                </c:pt>
                <c:pt idx="32">
                  <c:v>3.83333333333333</c:v>
                </c:pt>
                <c:pt idx="33">
                  <c:v>2.33333333333333</c:v>
                </c:pt>
                <c:pt idx="34">
                  <c:v>1</c:v>
                </c:pt>
              </c:numCache>
            </c:numRef>
          </c:val>
        </c:ser>
        <c:ser>
          <c:idx val="3"/>
          <c:order val="3"/>
          <c:tx>
            <c:strRef>
              <c:f>'Weekly Summary'!J1</c:f>
              <c:strCache>
                <c:ptCount val="1"/>
                <c:pt idx="0">
                  <c:v>Strength h</c:v>
                </c:pt>
              </c:strCache>
            </c:strRef>
          </c:tx>
          <c:spPr>
            <a:solidFill>
              <a:srgbClr val="8064a2"/>
            </a:solidFill>
            <a:ln w="0">
              <a:solidFill>
                <a:srgbClr val="8064a2"/>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Summary'!$A$2:$A$36</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'Weekly Summary'!$J$2:$J$36</c:f>
              <c:numCache>
                <c:formatCode>0.0</c:formatCode>
                <c:ptCount val="35"/>
                <c:pt idx="0">
                  <c:v>1.25</c:v>
                </c:pt>
                <c:pt idx="1">
                  <c:v>0.5</c:v>
                </c:pt>
                <c:pt idx="2">
                  <c:v>1.25</c:v>
                </c:pt>
                <c:pt idx="3">
                  <c:v>1.25</c:v>
                </c:pt>
                <c:pt idx="4">
                  <c:v>1.25</c:v>
                </c:pt>
                <c:pt idx="5">
                  <c:v>1</c:v>
                </c:pt>
                <c:pt idx="6">
                  <c:v>1.41666666666667</c:v>
                </c:pt>
                <c:pt idx="7">
                  <c:v>1.41666666666667</c:v>
                </c:pt>
                <c:pt idx="8">
                  <c:v>1.41666666666667</c:v>
                </c:pt>
                <c:pt idx="9">
                  <c:v>1</c:v>
                </c:pt>
                <c:pt idx="10">
                  <c:v>1.41666666666667</c:v>
                </c:pt>
                <c:pt idx="11">
                  <c:v>1.41666666666667</c:v>
                </c:pt>
                <c:pt idx="12">
                  <c:v>1.41666666666667</c:v>
                </c:pt>
                <c:pt idx="13">
                  <c:v>1</c:v>
                </c:pt>
                <c:pt idx="14">
                  <c:v>1.16666666666667</c:v>
                </c:pt>
                <c:pt idx="15">
                  <c:v>1.16666666666667</c:v>
                </c:pt>
                <c:pt idx="16">
                  <c:v>1.16666666666667</c:v>
                </c:pt>
                <c:pt idx="17">
                  <c:v>0.916666666666667</c:v>
                </c:pt>
                <c:pt idx="18">
                  <c:v>1.16666666666667</c:v>
                </c:pt>
                <c:pt idx="19">
                  <c:v>1.16666666666667</c:v>
                </c:pt>
                <c:pt idx="20">
                  <c:v>1.16666666666667</c:v>
                </c:pt>
                <c:pt idx="21">
                  <c:v>0.916666666666667</c:v>
                </c:pt>
                <c:pt idx="22">
                  <c:v>0.416666666666667</c:v>
                </c:pt>
                <c:pt idx="23">
                  <c:v>0.916666666666667</c:v>
                </c:pt>
                <c:pt idx="24">
                  <c:v>1.16666666666667</c:v>
                </c:pt>
                <c:pt idx="25">
                  <c:v>1.16666666666667</c:v>
                </c:pt>
                <c:pt idx="26">
                  <c:v>0.916666666666667</c:v>
                </c:pt>
                <c:pt idx="27">
                  <c:v>0</c:v>
                </c:pt>
                <c:pt idx="28">
                  <c:v>0.5</c:v>
                </c:pt>
                <c:pt idx="29">
                  <c:v>1</c:v>
                </c:pt>
                <c:pt idx="30">
                  <c:v>0.916666666666667</c:v>
                </c:pt>
                <c:pt idx="31">
                  <c:v>0.833333333333333</c:v>
                </c:pt>
                <c:pt idx="32">
                  <c:v>0.75</c:v>
                </c:pt>
                <c:pt idx="33">
                  <c:v>0.333333333333333</c:v>
                </c:pt>
                <c:pt idx="34">
                  <c:v>0</c:v>
                </c:pt>
              </c:numCache>
            </c:numRef>
          </c:val>
        </c:ser>
        <c:ser>
          <c:idx val="4"/>
          <c:order val="4"/>
          <c:tx>
            <c:strRef>
              <c:f>'Weekly Summary'!K1</c:f>
              <c:strCache>
                <c:ptCount val="1"/>
                <c:pt idx="0">
                  <c:v>Race h</c:v>
                </c:pt>
              </c:strCache>
            </c:strRef>
          </c:tx>
          <c:spPr>
            <a:solidFill>
              <a:srgbClr val="ffc000"/>
            </a:solidFill>
            <a:ln w="0">
              <a:solidFill>
                <a:srgbClr val="ffc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Summary'!$A$2:$A$36</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'Weekly Summary'!$K$2:$K$36</c:f>
              <c:numCache>
                <c:formatCode>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5</c:v>
                </c:pt>
                <c:pt idx="23">
                  <c:v>0</c:v>
                </c:pt>
                <c:pt idx="24">
                  <c:v>0</c:v>
                </c:pt>
                <c:pt idx="25">
                  <c:v>0</c:v>
                </c:pt>
                <c:pt idx="26">
                  <c:v>0</c:v>
                </c:pt>
                <c:pt idx="27">
                  <c:v>4.08333333333333</c:v>
                </c:pt>
                <c:pt idx="28">
                  <c:v>0</c:v>
                </c:pt>
                <c:pt idx="29">
                  <c:v>0</c:v>
                </c:pt>
                <c:pt idx="30">
                  <c:v>0</c:v>
                </c:pt>
                <c:pt idx="31">
                  <c:v>0</c:v>
                </c:pt>
                <c:pt idx="32">
                  <c:v>0</c:v>
                </c:pt>
                <c:pt idx="33">
                  <c:v>0</c:v>
                </c:pt>
                <c:pt idx="34">
                  <c:v>12.25</c:v>
                </c:pt>
              </c:numCache>
            </c:numRef>
          </c:val>
        </c:ser>
        <c:gapWidth val="150"/>
        <c:overlap val="100"/>
        <c:axId val="57759862"/>
        <c:axId val="97165316"/>
      </c:barChart>
      <c:catAx>
        <c:axId val="5775986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165316"/>
        <c:crosses val="autoZero"/>
        <c:auto val="1"/>
        <c:lblAlgn val="ctr"/>
        <c:lblOffset val="100"/>
        <c:noMultiLvlLbl val="0"/>
      </c:catAx>
      <c:valAx>
        <c:axId val="9716531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Hours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598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37800</xdr:rowOff>
    </xdr:from>
    <xdr:to>
      <xdr:col>9</xdr:col>
      <xdr:colOff>407880</xdr:colOff>
      <xdr:row>48</xdr:row>
      <xdr:rowOff>4320</xdr:rowOff>
    </xdr:to>
    <xdr:graphicFrame>
      <xdr:nvGraphicFramePr>
        <xdr:cNvPr id="0" name="Chart 1"/>
        <xdr:cNvGraphicFramePr/>
      </xdr:nvGraphicFramePr>
      <xdr:xfrm>
        <a:off x="0" y="742968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2" customFormat="false" ht="15" hidden="false" customHeight="false" outlineLevel="0" collapsed="false">
      <c r="A12" s="3" t="s">
        <v>15</v>
      </c>
    </row>
    <row r="13" customFormat="false" ht="15" hidden="false" customHeight="false" outlineLevel="0" collapsed="false">
      <c r="A13" s="4" t="s">
        <v>16</v>
      </c>
      <c r="B13" s="5" t="s">
        <v>17</v>
      </c>
    </row>
    <row r="14" customFormat="false" ht="23.85" hidden="false" customHeight="false" outlineLevel="0" collapsed="false">
      <c r="A14" s="4" t="s">
        <v>18</v>
      </c>
      <c r="B14" s="5" t="s">
        <v>19</v>
      </c>
    </row>
    <row r="15" customFormat="false" ht="15" hidden="false" customHeight="false" outlineLevel="0" collapsed="false">
      <c r="A15" s="4" t="s">
        <v>20</v>
      </c>
      <c r="B15" s="5" t="s">
        <v>21</v>
      </c>
    </row>
    <row r="16" customFormat="false" ht="15" hidden="false" customHeight="false" outlineLevel="0" collapsed="false">
      <c r="A16" s="4" t="s">
        <v>22</v>
      </c>
      <c r="B16" s="5" t="s">
        <v>23</v>
      </c>
    </row>
    <row r="18" customFormat="false" ht="15" hidden="false" customHeight="false" outlineLevel="0" collapsed="false">
      <c r="A18" s="3" t="s">
        <v>24</v>
      </c>
    </row>
    <row r="19" customFormat="false" ht="46.25" hidden="false" customHeight="false" outlineLevel="0" collapsed="false">
      <c r="A19" s="4" t="s">
        <v>25</v>
      </c>
      <c r="B19" s="5" t="s">
        <v>26</v>
      </c>
    </row>
    <row r="20" customFormat="false" ht="35.05" hidden="false" customHeight="false" outlineLevel="0" collapsed="false">
      <c r="A20" s="4" t="s">
        <v>27</v>
      </c>
      <c r="B20" s="5" t="s">
        <v>28</v>
      </c>
    </row>
    <row r="22" customFormat="false" ht="15" hidden="false" customHeight="false" outlineLevel="0" collapsed="false">
      <c r="A22" s="3" t="s">
        <v>29</v>
      </c>
    </row>
    <row r="23" customFormat="false" ht="23.85" hidden="false" customHeight="false" outlineLevel="0" collapsed="false">
      <c r="A23" s="4" t="s">
        <v>30</v>
      </c>
      <c r="B23" s="5" t="s">
        <v>31</v>
      </c>
    </row>
    <row r="24" customFormat="false" ht="46.25" hidden="false" customHeight="false" outlineLevel="0" collapsed="false">
      <c r="A24" s="4" t="s">
        <v>32</v>
      </c>
      <c r="B24" s="5" t="s">
        <v>33</v>
      </c>
    </row>
    <row r="25" customFormat="false" ht="35.05" hidden="false" customHeight="false" outlineLevel="0" collapsed="false">
      <c r="A25" s="4" t="s">
        <v>34</v>
      </c>
      <c r="B25" s="5" t="s">
        <v>35</v>
      </c>
    </row>
    <row r="26" customFormat="false" ht="46.25" hidden="false" customHeight="false" outlineLevel="0" collapsed="false">
      <c r="A26" s="4" t="s">
        <v>36</v>
      </c>
      <c r="B26" s="5" t="s">
        <v>37</v>
      </c>
    </row>
    <row r="27" customFormat="false" ht="35.05" hidden="false" customHeight="false" outlineLevel="0" collapsed="false">
      <c r="A27" s="4" t="s">
        <v>38</v>
      </c>
      <c r="B27" s="5" t="s">
        <v>39</v>
      </c>
    </row>
    <row r="28" customFormat="false" ht="23.85" hidden="false" customHeight="false" outlineLevel="0" collapsed="false">
      <c r="A28" s="4" t="s">
        <v>40</v>
      </c>
      <c r="B28" s="5" t="s">
        <v>41</v>
      </c>
    </row>
    <row r="29" customFormat="false" ht="23.85" hidden="false" customHeight="false" outlineLevel="0" collapsed="false">
      <c r="A29" s="4" t="s">
        <v>42</v>
      </c>
      <c r="B29" s="5" t="s">
        <v>43</v>
      </c>
    </row>
    <row r="30" customFormat="false" ht="23.85" hidden="false" customHeight="false" outlineLevel="0" collapsed="false">
      <c r="A30" s="4" t="s">
        <v>44</v>
      </c>
      <c r="B30" s="5" t="s">
        <v>45</v>
      </c>
    </row>
    <row r="31" customFormat="false" ht="15" hidden="false" customHeight="false" outlineLevel="0" collapsed="false">
      <c r="A31" s="4" t="s">
        <v>46</v>
      </c>
      <c r="B31" s="5" t="s">
        <v>47</v>
      </c>
    </row>
    <row r="32" customFormat="false" ht="23.85" hidden="false" customHeight="false" outlineLevel="0" collapsed="false">
      <c r="A32" s="4" t="s">
        <v>48</v>
      </c>
      <c r="B32" s="5" t="s">
        <v>49</v>
      </c>
    </row>
    <row r="33" customFormat="false" ht="15" hidden="false" customHeight="false" outlineLevel="0" collapsed="false">
      <c r="A33" s="4" t="s">
        <v>50</v>
      </c>
      <c r="B33" s="5"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11"/>
    <col collapsed="false" customWidth="true" hidden="false" outlineLevel="0" max="4" min="4" style="0" width="10"/>
    <col collapsed="false" customWidth="true" hidden="false" outlineLevel="0" max="5" min="5" style="0" width="60"/>
    <col collapsed="false" customWidth="true" hidden="false" outlineLevel="0" max="6" min="6" style="0" width="8"/>
    <col collapsed="false" customWidth="true" hidden="false" outlineLevel="0" max="9" min="7" style="0" width="7"/>
    <col collapsed="false" customWidth="true" hidden="false" outlineLevel="0" max="10" min="10" style="0" width="9"/>
    <col collapsed="false" customWidth="true" hidden="false" outlineLevel="0" max="11" min="11" style="0" width="7"/>
    <col collapsed="false" customWidth="true" hidden="false" outlineLevel="0" max="13" min="12" style="0" width="8"/>
    <col collapsed="false" customWidth="true" hidden="false" outlineLevel="0" max="16" min="14" style="0" width="12"/>
  </cols>
  <sheetData>
    <row r="1" customFormat="false" ht="35.05" hidden="false" customHeight="false" outlineLevel="0" collapsed="false">
      <c r="A1" s="6" t="s">
        <v>52</v>
      </c>
      <c r="B1" s="6" t="s">
        <v>53</v>
      </c>
      <c r="C1" s="6" t="s">
        <v>54</v>
      </c>
      <c r="D1" s="6" t="s">
        <v>55</v>
      </c>
      <c r="E1" s="6" t="s">
        <v>56</v>
      </c>
      <c r="F1" s="6" t="s">
        <v>57</v>
      </c>
      <c r="G1" s="6" t="s">
        <v>58</v>
      </c>
      <c r="H1" s="6" t="s">
        <v>59</v>
      </c>
      <c r="I1" s="6" t="s">
        <v>60</v>
      </c>
      <c r="J1" s="6" t="s">
        <v>61</v>
      </c>
      <c r="K1" s="6" t="s">
        <v>62</v>
      </c>
      <c r="L1" s="6" t="s">
        <v>63</v>
      </c>
      <c r="M1" s="6" t="s">
        <v>64</v>
      </c>
      <c r="N1" s="6" t="s">
        <v>65</v>
      </c>
      <c r="O1" s="6" t="s">
        <v>66</v>
      </c>
      <c r="P1" s="6" t="s">
        <v>67</v>
      </c>
    </row>
    <row r="2" customFormat="false" ht="15" hidden="false" customHeight="false" outlineLevel="0" collapsed="false">
      <c r="A2" s="7" t="n">
        <v>1</v>
      </c>
      <c r="B2" s="8" t="n">
        <v>46307</v>
      </c>
      <c r="C2" s="7" t="s">
        <v>68</v>
      </c>
      <c r="D2" s="7" t="s">
        <v>69</v>
      </c>
      <c r="E2" s="7" t="s">
        <v>70</v>
      </c>
      <c r="F2" s="9" t="n">
        <f aca="false">SUMIFS(Calendar!$G$2:$G$426,Calendar!$A$2:$A$426,$A2)/60</f>
        <v>7.66666666666667</v>
      </c>
      <c r="G2" s="9" t="n">
        <f aca="false">SUMIFS(Calendar!$G$2:$G$426,Calendar!$A$2:$A$426,$A2,Calendar!$E$2:$E$426,"Swim")/60</f>
        <v>2.41666666666667</v>
      </c>
      <c r="H2" s="9" t="n">
        <f aca="false">SUMIFS(Calendar!$G$2:$G$426,Calendar!$A$2:$A$426,$A2,Calendar!$E$2:$E$426,"Bike")/60</f>
        <v>4</v>
      </c>
      <c r="I2" s="9" t="n">
        <f aca="false">SUMIFS(Calendar!$G$2:$G$426,Calendar!$A$2:$A$426,$A2,Calendar!$E$2:$E$426,"Run")/60</f>
        <v>0</v>
      </c>
      <c r="J2" s="9" t="n">
        <f aca="false">SUMIFS(Calendar!$G$2:$G$426,Calendar!$A$2:$A$426,$A2,Calendar!$E$2:$E$426,"Strength")/60</f>
        <v>1.25</v>
      </c>
      <c r="K2" s="9" t="n">
        <f aca="false">SUMIFS(Calendar!$G$2:$G$426,Calendar!$A$2:$A$426,$A2,Calendar!$E$2:$E$426,"Race")/60</f>
        <v>0</v>
      </c>
      <c r="L2" s="9" t="n">
        <f aca="false">SUMIFS(Calendar!$H$2:$H$426,Calendar!$A$2:$A$426,$A2,Calendar!$E$2:$E$426,"Swim")</f>
        <v>7.1</v>
      </c>
      <c r="M2" s="9" t="n">
        <f aca="false">SUMIFS(Calendar!$H$2:$H$426,Calendar!$A$2:$A$426,$A2,Calendar!$E$2:$E$426,"Run")</f>
        <v>0</v>
      </c>
      <c r="N2" s="10" t="s">
        <v>71</v>
      </c>
      <c r="O2" s="10" t="s">
        <v>71</v>
      </c>
      <c r="P2" s="11" t="n">
        <f aca="false">IFERROR(SUMIFS(Calendar!$M$2:$M$426,Calendar!$A$2:$A$426,$A2)/((SUMIFS(Calendar!$G$2:$G$426,Calendar!$A$2:$A$426,$A2,Calendar!$E$2:$E$426,"Swim"))+(SUMIFS(Calendar!$G$2:$G$426,Calendar!$A$2:$A$426,$A2,Calendar!$E$2:$E$426,"Bike"))+(SUMIFS(Calendar!$G$2:$G$426,Calendar!$A$2:$A$426,$A2,Calendar!$E$2:$E$426,"Run"))),0)</f>
        <v>0.0909090909090909</v>
      </c>
    </row>
    <row r="3" customFormat="false" ht="15" hidden="false" customHeight="false" outlineLevel="0" collapsed="false">
      <c r="A3" s="12" t="n">
        <v>2</v>
      </c>
      <c r="B3" s="13" t="n">
        <v>46314</v>
      </c>
      <c r="C3" s="12" t="s">
        <v>68</v>
      </c>
      <c r="D3" s="12" t="s">
        <v>72</v>
      </c>
      <c r="E3" s="12" t="s">
        <v>73</v>
      </c>
      <c r="F3" s="9" t="n">
        <f aca="false">SUMIFS(Calendar!$G$2:$G$426,Calendar!$A$2:$A$426,$A3)/60</f>
        <v>4.75</v>
      </c>
      <c r="G3" s="9" t="n">
        <f aca="false">SUMIFS(Calendar!$G$2:$G$426,Calendar!$A$2:$A$426,$A3,Calendar!$E$2:$E$426,"Swim")/60</f>
        <v>1.5</v>
      </c>
      <c r="H3" s="9" t="n">
        <f aca="false">SUMIFS(Calendar!$G$2:$G$426,Calendar!$A$2:$A$426,$A3,Calendar!$E$2:$E$426,"Bike")/60</f>
        <v>2.75</v>
      </c>
      <c r="I3" s="9" t="n">
        <f aca="false">SUMIFS(Calendar!$G$2:$G$426,Calendar!$A$2:$A$426,$A3,Calendar!$E$2:$E$426,"Run")/60</f>
        <v>0</v>
      </c>
      <c r="J3" s="9" t="n">
        <f aca="false">SUMIFS(Calendar!$G$2:$G$426,Calendar!$A$2:$A$426,$A3,Calendar!$E$2:$E$426,"Strength")/60</f>
        <v>0.5</v>
      </c>
      <c r="K3" s="9" t="n">
        <f aca="false">SUMIFS(Calendar!$G$2:$G$426,Calendar!$A$2:$A$426,$A3,Calendar!$E$2:$E$426,"Race")/60</f>
        <v>0</v>
      </c>
      <c r="L3" s="9" t="n">
        <f aca="false">SUMIFS(Calendar!$H$2:$H$426,Calendar!$A$2:$A$426,$A3,Calendar!$E$2:$E$426,"Swim")</f>
        <v>4.3</v>
      </c>
      <c r="M3" s="9" t="n">
        <f aca="false">SUMIFS(Calendar!$H$2:$H$426,Calendar!$A$2:$A$426,$A3,Calendar!$E$2:$E$426,"Run")</f>
        <v>0</v>
      </c>
      <c r="N3" s="10" t="s">
        <v>71</v>
      </c>
      <c r="O3" s="10" t="s">
        <v>71</v>
      </c>
      <c r="P3" s="11" t="n">
        <f aca="false">IFERROR(SUMIFS(Calendar!$M$2:$M$426,Calendar!$A$2:$A$426,$A3)/((SUMIFS(Calendar!$G$2:$G$426,Calendar!$A$2:$A$426,$A3,Calendar!$E$2:$E$426,"Swim"))+(SUMIFS(Calendar!$G$2:$G$426,Calendar!$A$2:$A$426,$A3,Calendar!$E$2:$E$426,"Bike"))+(SUMIFS(Calendar!$G$2:$G$426,Calendar!$A$2:$A$426,$A3,Calendar!$E$2:$E$426,"Run"))),0)</f>
        <v>0.0745098039215686</v>
      </c>
    </row>
    <row r="4" customFormat="false" ht="23.85" hidden="false" customHeight="false" outlineLevel="0" collapsed="false">
      <c r="A4" s="7" t="n">
        <v>3</v>
      </c>
      <c r="B4" s="8" t="n">
        <v>46321</v>
      </c>
      <c r="C4" s="7" t="s">
        <v>74</v>
      </c>
      <c r="D4" s="7" t="s">
        <v>69</v>
      </c>
      <c r="E4" s="7" t="s">
        <v>75</v>
      </c>
      <c r="F4" s="9" t="n">
        <f aca="false">SUMIFS(Calendar!$G$2:$G$426,Calendar!$A$2:$A$426,$A4)/60</f>
        <v>7.83333333333333</v>
      </c>
      <c r="G4" s="9" t="n">
        <f aca="false">SUMIFS(Calendar!$G$2:$G$426,Calendar!$A$2:$A$426,$A4,Calendar!$E$2:$E$426,"Swim")/60</f>
        <v>2.33333333333333</v>
      </c>
      <c r="H4" s="9" t="n">
        <f aca="false">SUMIFS(Calendar!$G$2:$G$426,Calendar!$A$2:$A$426,$A4,Calendar!$E$2:$E$426,"Bike")/60</f>
        <v>3.25</v>
      </c>
      <c r="I4" s="9" t="n">
        <f aca="false">SUMIFS(Calendar!$G$2:$G$426,Calendar!$A$2:$A$426,$A4,Calendar!$E$2:$E$426,"Run")/60</f>
        <v>1</v>
      </c>
      <c r="J4" s="9" t="n">
        <f aca="false">SUMIFS(Calendar!$G$2:$G$426,Calendar!$A$2:$A$426,$A4,Calendar!$E$2:$E$426,"Strength")/60</f>
        <v>1.25</v>
      </c>
      <c r="K4" s="9" t="n">
        <f aca="false">SUMIFS(Calendar!$G$2:$G$426,Calendar!$A$2:$A$426,$A4,Calendar!$E$2:$E$426,"Race")/60</f>
        <v>0</v>
      </c>
      <c r="L4" s="9" t="n">
        <f aca="false">SUMIFS(Calendar!$H$2:$H$426,Calendar!$A$2:$A$426,$A4,Calendar!$E$2:$E$426,"Swim")</f>
        <v>6.8</v>
      </c>
      <c r="M4" s="9" t="n">
        <f aca="false">SUMIFS(Calendar!$H$2:$H$426,Calendar!$A$2:$A$426,$A4,Calendar!$E$2:$E$426,"Run")</f>
        <v>3</v>
      </c>
      <c r="N4" s="10" t="n">
        <f aca="false">F4/F2-1</f>
        <v>0.0217391304347825</v>
      </c>
      <c r="O4" s="10" t="s">
        <v>71</v>
      </c>
      <c r="P4" s="11" t="n">
        <f aca="false">IFERROR(SUMIFS(Calendar!$M$2:$M$426,Calendar!$A$2:$A$426,$A4)/((SUMIFS(Calendar!$G$2:$G$426,Calendar!$A$2:$A$426,$A4,Calendar!$E$2:$E$426,"Swim"))+(SUMIFS(Calendar!$G$2:$G$426,Calendar!$A$2:$A$426,$A4,Calendar!$E$2:$E$426,"Bike"))+(SUMIFS(Calendar!$G$2:$G$426,Calendar!$A$2:$A$426,$A4,Calendar!$E$2:$E$426,"Run"))),0)</f>
        <v>0.0962025316455696</v>
      </c>
    </row>
    <row r="5" customFormat="false" ht="15" hidden="false" customHeight="false" outlineLevel="0" collapsed="false">
      <c r="A5" s="7" t="n">
        <v>4</v>
      </c>
      <c r="B5" s="8" t="n">
        <v>46328</v>
      </c>
      <c r="C5" s="7" t="s">
        <v>74</v>
      </c>
      <c r="D5" s="7" t="s">
        <v>69</v>
      </c>
      <c r="E5" s="7" t="s">
        <v>76</v>
      </c>
      <c r="F5" s="9" t="n">
        <f aca="false">SUMIFS(Calendar!$G$2:$G$426,Calendar!$A$2:$A$426,$A5)/60</f>
        <v>8.5</v>
      </c>
      <c r="G5" s="9" t="n">
        <f aca="false">SUMIFS(Calendar!$G$2:$G$426,Calendar!$A$2:$A$426,$A5,Calendar!$E$2:$E$426,"Swim")/60</f>
        <v>2.5</v>
      </c>
      <c r="H5" s="9" t="n">
        <f aca="false">SUMIFS(Calendar!$G$2:$G$426,Calendar!$A$2:$A$426,$A5,Calendar!$E$2:$E$426,"Bike")/60</f>
        <v>3.5</v>
      </c>
      <c r="I5" s="9" t="n">
        <f aca="false">SUMIFS(Calendar!$G$2:$G$426,Calendar!$A$2:$A$426,$A5,Calendar!$E$2:$E$426,"Run")/60</f>
        <v>1.25</v>
      </c>
      <c r="J5" s="9" t="n">
        <f aca="false">SUMIFS(Calendar!$G$2:$G$426,Calendar!$A$2:$A$426,$A5,Calendar!$E$2:$E$426,"Strength")/60</f>
        <v>1.25</v>
      </c>
      <c r="K5" s="9" t="n">
        <f aca="false">SUMIFS(Calendar!$G$2:$G$426,Calendar!$A$2:$A$426,$A5,Calendar!$E$2:$E$426,"Race")/60</f>
        <v>0</v>
      </c>
      <c r="L5" s="9" t="n">
        <f aca="false">SUMIFS(Calendar!$H$2:$H$426,Calendar!$A$2:$A$426,$A5,Calendar!$E$2:$E$426,"Swim")</f>
        <v>7.4</v>
      </c>
      <c r="M5" s="9" t="n">
        <f aca="false">SUMIFS(Calendar!$H$2:$H$426,Calendar!$A$2:$A$426,$A5,Calendar!$E$2:$E$426,"Run")</f>
        <v>6</v>
      </c>
      <c r="N5" s="10" t="n">
        <f aca="false">F5/F4-1</f>
        <v>0.0851063829787235</v>
      </c>
      <c r="O5" s="10" t="s">
        <v>71</v>
      </c>
      <c r="P5" s="11" t="n">
        <f aca="false">IFERROR(SUMIFS(Calendar!$M$2:$M$426,Calendar!$A$2:$A$426,$A5)/((SUMIFS(Calendar!$G$2:$G$426,Calendar!$A$2:$A$426,$A5,Calendar!$E$2:$E$426,"Swim"))+(SUMIFS(Calendar!$G$2:$G$426,Calendar!$A$2:$A$426,$A5,Calendar!$E$2:$E$426,"Bike"))+(SUMIFS(Calendar!$G$2:$G$426,Calendar!$A$2:$A$426,$A5,Calendar!$E$2:$E$426,"Run"))),0)</f>
        <v>0.0942528735632184</v>
      </c>
    </row>
    <row r="6" customFormat="false" ht="15" hidden="false" customHeight="false" outlineLevel="0" collapsed="false">
      <c r="A6" s="7" t="n">
        <v>5</v>
      </c>
      <c r="B6" s="8" t="n">
        <v>46335</v>
      </c>
      <c r="C6" s="7" t="s">
        <v>74</v>
      </c>
      <c r="D6" s="7" t="s">
        <v>69</v>
      </c>
      <c r="E6" s="7" t="s">
        <v>77</v>
      </c>
      <c r="F6" s="9" t="n">
        <f aca="false">SUMIFS(Calendar!$G$2:$G$426,Calendar!$A$2:$A$426,$A6)/60</f>
        <v>9.33333333333333</v>
      </c>
      <c r="G6" s="9" t="n">
        <f aca="false">SUMIFS(Calendar!$G$2:$G$426,Calendar!$A$2:$A$426,$A6,Calendar!$E$2:$E$426,"Swim")/60</f>
        <v>2.75</v>
      </c>
      <c r="H6" s="9" t="n">
        <f aca="false">SUMIFS(Calendar!$G$2:$G$426,Calendar!$A$2:$A$426,$A6,Calendar!$E$2:$E$426,"Bike")/60</f>
        <v>3.83333333333333</v>
      </c>
      <c r="I6" s="9" t="n">
        <f aca="false">SUMIFS(Calendar!$G$2:$G$426,Calendar!$A$2:$A$426,$A6,Calendar!$E$2:$E$426,"Run")/60</f>
        <v>1.5</v>
      </c>
      <c r="J6" s="9" t="n">
        <f aca="false">SUMIFS(Calendar!$G$2:$G$426,Calendar!$A$2:$A$426,$A6,Calendar!$E$2:$E$426,"Strength")/60</f>
        <v>1.25</v>
      </c>
      <c r="K6" s="9" t="n">
        <f aca="false">SUMIFS(Calendar!$G$2:$G$426,Calendar!$A$2:$A$426,$A6,Calendar!$E$2:$E$426,"Race")/60</f>
        <v>0</v>
      </c>
      <c r="L6" s="9" t="n">
        <f aca="false">SUMIFS(Calendar!$H$2:$H$426,Calendar!$A$2:$A$426,$A6,Calendar!$E$2:$E$426,"Swim")</f>
        <v>8.2</v>
      </c>
      <c r="M6" s="9" t="n">
        <f aca="false">SUMIFS(Calendar!$H$2:$H$426,Calendar!$A$2:$A$426,$A6,Calendar!$E$2:$E$426,"Run")</f>
        <v>9.9</v>
      </c>
      <c r="N6" s="10" t="n">
        <f aca="false">F6/F5-1</f>
        <v>0.0980392156862746</v>
      </c>
      <c r="O6" s="10" t="s">
        <v>71</v>
      </c>
      <c r="P6" s="11" t="n">
        <f aca="false">IFERROR(SUMIFS(Calendar!$M$2:$M$426,Calendar!$A$2:$A$426,$A6)/((SUMIFS(Calendar!$G$2:$G$426,Calendar!$A$2:$A$426,$A6,Calendar!$E$2:$E$426,"Swim"))+(SUMIFS(Calendar!$G$2:$G$426,Calendar!$A$2:$A$426,$A6,Calendar!$E$2:$E$426,"Bike"))+(SUMIFS(Calendar!$G$2:$G$426,Calendar!$A$2:$A$426,$A6,Calendar!$E$2:$E$426,"Run"))),0)</f>
        <v>0.0948453608247423</v>
      </c>
    </row>
    <row r="7" customFormat="false" ht="15" hidden="false" customHeight="false" outlineLevel="0" collapsed="false">
      <c r="A7" s="14" t="n">
        <v>6</v>
      </c>
      <c r="B7" s="15" t="n">
        <v>46342</v>
      </c>
      <c r="C7" s="14" t="s">
        <v>74</v>
      </c>
      <c r="D7" s="14" t="s">
        <v>78</v>
      </c>
      <c r="E7" s="14" t="s">
        <v>79</v>
      </c>
      <c r="F7" s="9" t="n">
        <f aca="false">SUMIFS(Calendar!$G$2:$G$426,Calendar!$A$2:$A$426,$A7)/60</f>
        <v>6.83333333333333</v>
      </c>
      <c r="G7" s="9" t="n">
        <f aca="false">SUMIFS(Calendar!$G$2:$G$426,Calendar!$A$2:$A$426,$A7,Calendar!$E$2:$E$426,"Swim")/60</f>
        <v>2.16666666666667</v>
      </c>
      <c r="H7" s="9" t="n">
        <f aca="false">SUMIFS(Calendar!$G$2:$G$426,Calendar!$A$2:$A$426,$A7,Calendar!$E$2:$E$426,"Bike")/60</f>
        <v>2.16666666666667</v>
      </c>
      <c r="I7" s="9" t="n">
        <f aca="false">SUMIFS(Calendar!$G$2:$G$426,Calendar!$A$2:$A$426,$A7,Calendar!$E$2:$E$426,"Run")/60</f>
        <v>1.5</v>
      </c>
      <c r="J7" s="9" t="n">
        <f aca="false">SUMIFS(Calendar!$G$2:$G$426,Calendar!$A$2:$A$426,$A7,Calendar!$E$2:$E$426,"Strength")/60</f>
        <v>1</v>
      </c>
      <c r="K7" s="9" t="n">
        <f aca="false">SUMIFS(Calendar!$G$2:$G$426,Calendar!$A$2:$A$426,$A7,Calendar!$E$2:$E$426,"Race")/60</f>
        <v>0</v>
      </c>
      <c r="L7" s="9" t="n">
        <f aca="false">SUMIFS(Calendar!$H$2:$H$426,Calendar!$A$2:$A$426,$A7,Calendar!$E$2:$E$426,"Swim")</f>
        <v>5.8</v>
      </c>
      <c r="M7" s="9" t="n">
        <f aca="false">SUMIFS(Calendar!$H$2:$H$426,Calendar!$A$2:$A$426,$A7,Calendar!$E$2:$E$426,"Run")</f>
        <v>9.9</v>
      </c>
      <c r="N7" s="10" t="s">
        <v>71</v>
      </c>
      <c r="O7" s="10" t="s">
        <v>71</v>
      </c>
      <c r="P7" s="11" t="n">
        <f aca="false">IFERROR(SUMIFS(Calendar!$M$2:$M$426,Calendar!$A$2:$A$426,$A7)/((SUMIFS(Calendar!$G$2:$G$426,Calendar!$A$2:$A$426,$A7,Calendar!$E$2:$E$426,"Swim"))+(SUMIFS(Calendar!$G$2:$G$426,Calendar!$A$2:$A$426,$A7,Calendar!$E$2:$E$426,"Bike"))+(SUMIFS(Calendar!$G$2:$G$426,Calendar!$A$2:$A$426,$A7,Calendar!$E$2:$E$426,"Run"))),0)</f>
        <v>0.0514285714285714</v>
      </c>
    </row>
    <row r="8" customFormat="false" ht="15" hidden="false" customHeight="false" outlineLevel="0" collapsed="false">
      <c r="A8" s="7" t="n">
        <v>7</v>
      </c>
      <c r="B8" s="8" t="n">
        <v>46349</v>
      </c>
      <c r="C8" s="7" t="s">
        <v>80</v>
      </c>
      <c r="D8" s="7" t="s">
        <v>69</v>
      </c>
      <c r="E8" s="7" t="s">
        <v>81</v>
      </c>
      <c r="F8" s="9" t="n">
        <f aca="false">SUMIFS(Calendar!$G$2:$G$426,Calendar!$A$2:$A$426,$A8)/60</f>
        <v>10.25</v>
      </c>
      <c r="G8" s="9" t="n">
        <f aca="false">SUMIFS(Calendar!$G$2:$G$426,Calendar!$A$2:$A$426,$A8,Calendar!$E$2:$E$426,"Swim")/60</f>
        <v>2.75</v>
      </c>
      <c r="H8" s="9" t="n">
        <f aca="false">SUMIFS(Calendar!$G$2:$G$426,Calendar!$A$2:$A$426,$A8,Calendar!$E$2:$E$426,"Bike")/60</f>
        <v>4.58333333333333</v>
      </c>
      <c r="I8" s="9" t="n">
        <f aca="false">SUMIFS(Calendar!$G$2:$G$426,Calendar!$A$2:$A$426,$A8,Calendar!$E$2:$E$426,"Run")/60</f>
        <v>1.5</v>
      </c>
      <c r="J8" s="9" t="n">
        <f aca="false">SUMIFS(Calendar!$G$2:$G$426,Calendar!$A$2:$A$426,$A8,Calendar!$E$2:$E$426,"Strength")/60</f>
        <v>1.41666666666667</v>
      </c>
      <c r="K8" s="9" t="n">
        <f aca="false">SUMIFS(Calendar!$G$2:$G$426,Calendar!$A$2:$A$426,$A8,Calendar!$E$2:$E$426,"Race")/60</f>
        <v>0</v>
      </c>
      <c r="L8" s="9" t="n">
        <f aca="false">SUMIFS(Calendar!$H$2:$H$426,Calendar!$A$2:$A$426,$A8,Calendar!$E$2:$E$426,"Swim")</f>
        <v>8.2</v>
      </c>
      <c r="M8" s="9" t="n">
        <f aca="false">SUMIFS(Calendar!$H$2:$H$426,Calendar!$A$2:$A$426,$A8,Calendar!$E$2:$E$426,"Run")</f>
        <v>12</v>
      </c>
      <c r="N8" s="10" t="n">
        <f aca="false">F8/F6-1</f>
        <v>0.0982142857142856</v>
      </c>
      <c r="O8" s="10" t="s">
        <v>71</v>
      </c>
      <c r="P8" s="11" t="n">
        <f aca="false">IFERROR(SUMIFS(Calendar!$M$2:$M$426,Calendar!$A$2:$A$426,$A8)/((SUMIFS(Calendar!$G$2:$G$426,Calendar!$A$2:$A$426,$A8,Calendar!$E$2:$E$426,"Swim"))+(SUMIFS(Calendar!$G$2:$G$426,Calendar!$A$2:$A$426,$A8,Calendar!$E$2:$E$426,"Bike"))+(SUMIFS(Calendar!$G$2:$G$426,Calendar!$A$2:$A$426,$A8,Calendar!$E$2:$E$426,"Run"))),0)</f>
        <v>0.0943396226415094</v>
      </c>
    </row>
    <row r="9" customFormat="false" ht="15" hidden="false" customHeight="false" outlineLevel="0" collapsed="false">
      <c r="A9" s="7" t="n">
        <v>8</v>
      </c>
      <c r="B9" s="8" t="n">
        <v>46356</v>
      </c>
      <c r="C9" s="7" t="s">
        <v>80</v>
      </c>
      <c r="D9" s="7" t="s">
        <v>69</v>
      </c>
      <c r="E9" s="7" t="s">
        <v>82</v>
      </c>
      <c r="F9" s="9" t="n">
        <f aca="false">SUMIFS(Calendar!$G$2:$G$426,Calendar!$A$2:$A$426,$A9)/60</f>
        <v>11.1666666666667</v>
      </c>
      <c r="G9" s="9" t="n">
        <f aca="false">SUMIFS(Calendar!$G$2:$G$426,Calendar!$A$2:$A$426,$A9,Calendar!$E$2:$E$426,"Swim")/60</f>
        <v>3</v>
      </c>
      <c r="H9" s="9" t="n">
        <f aca="false">SUMIFS(Calendar!$G$2:$G$426,Calendar!$A$2:$A$426,$A9,Calendar!$E$2:$E$426,"Bike")/60</f>
        <v>5.33333333333333</v>
      </c>
      <c r="I9" s="9" t="n">
        <f aca="false">SUMIFS(Calendar!$G$2:$G$426,Calendar!$A$2:$A$426,$A9,Calendar!$E$2:$E$426,"Run")/60</f>
        <v>1.41666666666667</v>
      </c>
      <c r="J9" s="9" t="n">
        <f aca="false">SUMIFS(Calendar!$G$2:$G$426,Calendar!$A$2:$A$426,$A9,Calendar!$E$2:$E$426,"Strength")/60</f>
        <v>1.41666666666667</v>
      </c>
      <c r="K9" s="9" t="n">
        <f aca="false">SUMIFS(Calendar!$G$2:$G$426,Calendar!$A$2:$A$426,$A9,Calendar!$E$2:$E$426,"Race")/60</f>
        <v>0</v>
      </c>
      <c r="L9" s="9" t="n">
        <f aca="false">SUMIFS(Calendar!$H$2:$H$426,Calendar!$A$2:$A$426,$A9,Calendar!$E$2:$E$426,"Swim")</f>
        <v>8.8</v>
      </c>
      <c r="M9" s="9" t="n">
        <f aca="false">SUMIFS(Calendar!$H$2:$H$426,Calendar!$A$2:$A$426,$A9,Calendar!$E$2:$E$426,"Run")</f>
        <v>14.2</v>
      </c>
      <c r="N9" s="10" t="n">
        <f aca="false">F9/F8-1</f>
        <v>0.089430894308943</v>
      </c>
      <c r="O9" s="10" t="s">
        <v>71</v>
      </c>
      <c r="P9" s="11" t="n">
        <f aca="false">IFERROR(SUMIFS(Calendar!$M$2:$M$426,Calendar!$A$2:$A$426,$A9)/((SUMIFS(Calendar!$G$2:$G$426,Calendar!$A$2:$A$426,$A9,Calendar!$E$2:$E$426,"Swim"))+(SUMIFS(Calendar!$G$2:$G$426,Calendar!$A$2:$A$426,$A9,Calendar!$E$2:$E$426,"Bike"))+(SUMIFS(Calendar!$G$2:$G$426,Calendar!$A$2:$A$426,$A9,Calendar!$E$2:$E$426,"Run"))),0)</f>
        <v>0.0923076923076923</v>
      </c>
    </row>
    <row r="10" customFormat="false" ht="23.85" hidden="false" customHeight="false" outlineLevel="0" collapsed="false">
      <c r="A10" s="7" t="n">
        <v>9</v>
      </c>
      <c r="B10" s="8" t="n">
        <v>46363</v>
      </c>
      <c r="C10" s="7" t="s">
        <v>80</v>
      </c>
      <c r="D10" s="7" t="s">
        <v>69</v>
      </c>
      <c r="E10" s="7" t="s">
        <v>83</v>
      </c>
      <c r="F10" s="9" t="n">
        <f aca="false">SUMIFS(Calendar!$G$2:$G$426,Calendar!$A$2:$A$426,$A10)/60</f>
        <v>12</v>
      </c>
      <c r="G10" s="9" t="n">
        <f aca="false">SUMIFS(Calendar!$G$2:$G$426,Calendar!$A$2:$A$426,$A10,Calendar!$E$2:$E$426,"Swim")/60</f>
        <v>3</v>
      </c>
      <c r="H10" s="9" t="n">
        <f aca="false">SUMIFS(Calendar!$G$2:$G$426,Calendar!$A$2:$A$426,$A10,Calendar!$E$2:$E$426,"Bike")/60</f>
        <v>5.75</v>
      </c>
      <c r="I10" s="9" t="n">
        <f aca="false">SUMIFS(Calendar!$G$2:$G$426,Calendar!$A$2:$A$426,$A10,Calendar!$E$2:$E$426,"Run")/60</f>
        <v>1.83333333333333</v>
      </c>
      <c r="J10" s="9" t="n">
        <f aca="false">SUMIFS(Calendar!$G$2:$G$426,Calendar!$A$2:$A$426,$A10,Calendar!$E$2:$E$426,"Strength")/60</f>
        <v>1.41666666666667</v>
      </c>
      <c r="K10" s="9" t="n">
        <f aca="false">SUMIFS(Calendar!$G$2:$G$426,Calendar!$A$2:$A$426,$A10,Calendar!$E$2:$E$426,"Race")/60</f>
        <v>0</v>
      </c>
      <c r="L10" s="9" t="n">
        <f aca="false">SUMIFS(Calendar!$H$2:$H$426,Calendar!$A$2:$A$426,$A10,Calendar!$E$2:$E$426,"Swim")</f>
        <v>8.8</v>
      </c>
      <c r="M10" s="9" t="n">
        <f aca="false">SUMIFS(Calendar!$H$2:$H$426,Calendar!$A$2:$A$426,$A10,Calendar!$E$2:$E$426,"Run")</f>
        <v>18.4</v>
      </c>
      <c r="N10" s="10" t="n">
        <f aca="false">F10/F9-1</f>
        <v>0.0746268656716418</v>
      </c>
      <c r="O10" s="10" t="s">
        <v>71</v>
      </c>
      <c r="P10" s="11" t="n">
        <f aca="false">IFERROR(SUMIFS(Calendar!$M$2:$M$426,Calendar!$A$2:$A$426,$A10)/((SUMIFS(Calendar!$G$2:$G$426,Calendar!$A$2:$A$426,$A10,Calendar!$E$2:$E$426,"Swim"))+(SUMIFS(Calendar!$G$2:$G$426,Calendar!$A$2:$A$426,$A10,Calendar!$E$2:$E$426,"Bike"))+(SUMIFS(Calendar!$G$2:$G$426,Calendar!$A$2:$A$426,$A10,Calendar!$E$2:$E$426,"Run"))),0)</f>
        <v>0.0929133858267717</v>
      </c>
    </row>
    <row r="11" customFormat="false" ht="15" hidden="false" customHeight="false" outlineLevel="0" collapsed="false">
      <c r="A11" s="14" t="n">
        <v>10</v>
      </c>
      <c r="B11" s="15" t="n">
        <v>46370</v>
      </c>
      <c r="C11" s="14" t="s">
        <v>80</v>
      </c>
      <c r="D11" s="14" t="s">
        <v>78</v>
      </c>
      <c r="E11" s="14" t="s">
        <v>84</v>
      </c>
      <c r="F11" s="9" t="n">
        <f aca="false">SUMIFS(Calendar!$G$2:$G$426,Calendar!$A$2:$A$426,$A11)/60</f>
        <v>8.16666666666667</v>
      </c>
      <c r="G11" s="9" t="n">
        <f aca="false">SUMIFS(Calendar!$G$2:$G$426,Calendar!$A$2:$A$426,$A11,Calendar!$E$2:$E$426,"Swim")/60</f>
        <v>2.16666666666667</v>
      </c>
      <c r="H11" s="9" t="n">
        <f aca="false">SUMIFS(Calendar!$G$2:$G$426,Calendar!$A$2:$A$426,$A11,Calendar!$E$2:$E$426,"Bike")/60</f>
        <v>3.5</v>
      </c>
      <c r="I11" s="9" t="n">
        <f aca="false">SUMIFS(Calendar!$G$2:$G$426,Calendar!$A$2:$A$426,$A11,Calendar!$E$2:$E$426,"Run")/60</f>
        <v>1.5</v>
      </c>
      <c r="J11" s="9" t="n">
        <f aca="false">SUMIFS(Calendar!$G$2:$G$426,Calendar!$A$2:$A$426,$A11,Calendar!$E$2:$E$426,"Strength")/60</f>
        <v>1</v>
      </c>
      <c r="K11" s="9" t="n">
        <f aca="false">SUMIFS(Calendar!$G$2:$G$426,Calendar!$A$2:$A$426,$A11,Calendar!$E$2:$E$426,"Race")/60</f>
        <v>0</v>
      </c>
      <c r="L11" s="9" t="n">
        <f aca="false">SUMIFS(Calendar!$H$2:$H$426,Calendar!$A$2:$A$426,$A11,Calendar!$E$2:$E$426,"Swim")</f>
        <v>6.1</v>
      </c>
      <c r="M11" s="9" t="n">
        <f aca="false">SUMIFS(Calendar!$H$2:$H$426,Calendar!$A$2:$A$426,$A11,Calendar!$E$2:$E$426,"Run")</f>
        <v>15</v>
      </c>
      <c r="N11" s="10" t="s">
        <v>71</v>
      </c>
      <c r="O11" s="10" t="s">
        <v>71</v>
      </c>
      <c r="P11" s="11" t="n">
        <f aca="false">IFERROR(SUMIFS(Calendar!$M$2:$M$426,Calendar!$A$2:$A$426,$A11)/((SUMIFS(Calendar!$G$2:$G$426,Calendar!$A$2:$A$426,$A11,Calendar!$E$2:$E$426,"Swim"))+(SUMIFS(Calendar!$G$2:$G$426,Calendar!$A$2:$A$426,$A11,Calendar!$E$2:$E$426,"Bike"))+(SUMIFS(Calendar!$G$2:$G$426,Calendar!$A$2:$A$426,$A11,Calendar!$E$2:$E$426,"Run"))),0)</f>
        <v>0.0441860465116279</v>
      </c>
    </row>
    <row r="12" customFormat="false" ht="23.85" hidden="false" customHeight="false" outlineLevel="0" collapsed="false">
      <c r="A12" s="7" t="n">
        <v>11</v>
      </c>
      <c r="B12" s="8" t="n">
        <v>46377</v>
      </c>
      <c r="C12" s="7" t="s">
        <v>85</v>
      </c>
      <c r="D12" s="7" t="s">
        <v>69</v>
      </c>
      <c r="E12" s="7" t="s">
        <v>86</v>
      </c>
      <c r="F12" s="9" t="n">
        <f aca="false">SUMIFS(Calendar!$G$2:$G$426,Calendar!$A$2:$A$426,$A12)/60</f>
        <v>11.55</v>
      </c>
      <c r="G12" s="9" t="n">
        <f aca="false">SUMIFS(Calendar!$G$2:$G$426,Calendar!$A$2:$A$426,$A12,Calendar!$E$2:$E$426,"Swim")/60</f>
        <v>2.75</v>
      </c>
      <c r="H12" s="9" t="n">
        <f aca="false">SUMIFS(Calendar!$G$2:$G$426,Calendar!$A$2:$A$426,$A12,Calendar!$E$2:$E$426,"Bike")/60</f>
        <v>5.41666666666667</v>
      </c>
      <c r="I12" s="9" t="n">
        <f aca="false">SUMIFS(Calendar!$G$2:$G$426,Calendar!$A$2:$A$426,$A12,Calendar!$E$2:$E$426,"Run")/60</f>
        <v>1.96666666666667</v>
      </c>
      <c r="J12" s="9" t="n">
        <f aca="false">SUMIFS(Calendar!$G$2:$G$426,Calendar!$A$2:$A$426,$A12,Calendar!$E$2:$E$426,"Strength")/60</f>
        <v>1.41666666666667</v>
      </c>
      <c r="K12" s="9" t="n">
        <f aca="false">SUMIFS(Calendar!$G$2:$G$426,Calendar!$A$2:$A$426,$A12,Calendar!$E$2:$E$426,"Race")/60</f>
        <v>0</v>
      </c>
      <c r="L12" s="9" t="n">
        <f aca="false">SUMIFS(Calendar!$H$2:$H$426,Calendar!$A$2:$A$426,$A12,Calendar!$E$2:$E$426,"Swim")</f>
        <v>8</v>
      </c>
      <c r="M12" s="9" t="n">
        <f aca="false">SUMIFS(Calendar!$H$2:$H$426,Calendar!$A$2:$A$426,$A12,Calendar!$E$2:$E$426,"Run")</f>
        <v>19.7</v>
      </c>
      <c r="N12" s="10" t="n">
        <f aca="false">F12/F10-1</f>
        <v>-0.0375</v>
      </c>
      <c r="O12" s="10" t="n">
        <f aca="false">M12/M10-1</f>
        <v>0.0706521739130435</v>
      </c>
      <c r="P12" s="11" t="n">
        <f aca="false">IFERROR(SUMIFS(Calendar!$M$2:$M$426,Calendar!$A$2:$A$426,$A12)/((SUMIFS(Calendar!$G$2:$G$426,Calendar!$A$2:$A$426,$A12,Calendar!$E$2:$E$426,"Swim"))+(SUMIFS(Calendar!$G$2:$G$426,Calendar!$A$2:$A$426,$A12,Calendar!$E$2:$E$426,"Bike"))+(SUMIFS(Calendar!$G$2:$G$426,Calendar!$A$2:$A$426,$A12,Calendar!$E$2:$E$426,"Run"))),0)</f>
        <v>0.103618421052632</v>
      </c>
    </row>
    <row r="13" customFormat="false" ht="15" hidden="false" customHeight="false" outlineLevel="0" collapsed="false">
      <c r="A13" s="7" t="n">
        <v>12</v>
      </c>
      <c r="B13" s="8" t="n">
        <v>46384</v>
      </c>
      <c r="C13" s="7" t="s">
        <v>85</v>
      </c>
      <c r="D13" s="7" t="s">
        <v>69</v>
      </c>
      <c r="E13" s="7" t="s">
        <v>87</v>
      </c>
      <c r="F13" s="9" t="n">
        <f aca="false">SUMIFS(Calendar!$G$2:$G$426,Calendar!$A$2:$A$426,$A13)/60</f>
        <v>12.5666666666667</v>
      </c>
      <c r="G13" s="9" t="n">
        <f aca="false">SUMIFS(Calendar!$G$2:$G$426,Calendar!$A$2:$A$426,$A13,Calendar!$E$2:$E$426,"Swim")/60</f>
        <v>3</v>
      </c>
      <c r="H13" s="9" t="n">
        <f aca="false">SUMIFS(Calendar!$G$2:$G$426,Calendar!$A$2:$A$426,$A13,Calendar!$E$2:$E$426,"Bike")/60</f>
        <v>6</v>
      </c>
      <c r="I13" s="9" t="n">
        <f aca="false">SUMIFS(Calendar!$G$2:$G$426,Calendar!$A$2:$A$426,$A13,Calendar!$E$2:$E$426,"Run")/60</f>
        <v>2.15</v>
      </c>
      <c r="J13" s="9" t="n">
        <f aca="false">SUMIFS(Calendar!$G$2:$G$426,Calendar!$A$2:$A$426,$A13,Calendar!$E$2:$E$426,"Strength")/60</f>
        <v>1.41666666666667</v>
      </c>
      <c r="K13" s="9" t="n">
        <f aca="false">SUMIFS(Calendar!$G$2:$G$426,Calendar!$A$2:$A$426,$A13,Calendar!$E$2:$E$426,"Race")/60</f>
        <v>0</v>
      </c>
      <c r="L13" s="9" t="n">
        <f aca="false">SUMIFS(Calendar!$H$2:$H$426,Calendar!$A$2:$A$426,$A13,Calendar!$E$2:$E$426,"Swim")</f>
        <v>8.8</v>
      </c>
      <c r="M13" s="9" t="n">
        <f aca="false">SUMIFS(Calendar!$H$2:$H$426,Calendar!$A$2:$A$426,$A13,Calendar!$E$2:$E$426,"Run")</f>
        <v>21.5</v>
      </c>
      <c r="N13" s="10" t="n">
        <f aca="false">F13/F12-1</f>
        <v>0.0880230880230879</v>
      </c>
      <c r="O13" s="10" t="n">
        <f aca="false">M13/M12-1</f>
        <v>0.0913705583756346</v>
      </c>
      <c r="P13" s="11" t="n">
        <f aca="false">IFERROR(SUMIFS(Calendar!$M$2:$M$426,Calendar!$A$2:$A$426,$A13)/((SUMIFS(Calendar!$G$2:$G$426,Calendar!$A$2:$A$426,$A13,Calendar!$E$2:$E$426,"Swim"))+(SUMIFS(Calendar!$G$2:$G$426,Calendar!$A$2:$A$426,$A13,Calendar!$E$2:$E$426,"Bike"))+(SUMIFS(Calendar!$G$2:$G$426,Calendar!$A$2:$A$426,$A13,Calendar!$E$2:$E$426,"Run"))),0)</f>
        <v>0.100149476831091</v>
      </c>
    </row>
    <row r="14" customFormat="false" ht="15" hidden="false" customHeight="false" outlineLevel="0" collapsed="false">
      <c r="A14" s="7" t="n">
        <v>13</v>
      </c>
      <c r="B14" s="8" t="n">
        <v>46391</v>
      </c>
      <c r="C14" s="7" t="s">
        <v>85</v>
      </c>
      <c r="D14" s="7" t="s">
        <v>69</v>
      </c>
      <c r="E14" s="7" t="s">
        <v>88</v>
      </c>
      <c r="F14" s="9" t="n">
        <f aca="false">SUMIFS(Calendar!$G$2:$G$426,Calendar!$A$2:$A$426,$A14)/60</f>
        <v>13.4166666666667</v>
      </c>
      <c r="G14" s="9" t="n">
        <f aca="false">SUMIFS(Calendar!$G$2:$G$426,Calendar!$A$2:$A$426,$A14,Calendar!$E$2:$E$426,"Swim")/60</f>
        <v>3.16666666666667</v>
      </c>
      <c r="H14" s="9" t="n">
        <f aca="false">SUMIFS(Calendar!$G$2:$G$426,Calendar!$A$2:$A$426,$A14,Calendar!$E$2:$E$426,"Bike")/60</f>
        <v>6.5</v>
      </c>
      <c r="I14" s="9" t="n">
        <f aca="false">SUMIFS(Calendar!$G$2:$G$426,Calendar!$A$2:$A$426,$A14,Calendar!$E$2:$E$426,"Run")/60</f>
        <v>2.33333333333333</v>
      </c>
      <c r="J14" s="9" t="n">
        <f aca="false">SUMIFS(Calendar!$G$2:$G$426,Calendar!$A$2:$A$426,$A14,Calendar!$E$2:$E$426,"Strength")/60</f>
        <v>1.41666666666667</v>
      </c>
      <c r="K14" s="9" t="n">
        <f aca="false">SUMIFS(Calendar!$G$2:$G$426,Calendar!$A$2:$A$426,$A14,Calendar!$E$2:$E$426,"Race")/60</f>
        <v>0</v>
      </c>
      <c r="L14" s="9" t="n">
        <f aca="false">SUMIFS(Calendar!$H$2:$H$426,Calendar!$A$2:$A$426,$A14,Calendar!$E$2:$E$426,"Swim")</f>
        <v>9.3</v>
      </c>
      <c r="M14" s="9" t="n">
        <f aca="false">SUMIFS(Calendar!$H$2:$H$426,Calendar!$A$2:$A$426,$A14,Calendar!$E$2:$E$426,"Run")</f>
        <v>23.3</v>
      </c>
      <c r="N14" s="10" t="n">
        <f aca="false">F14/F13-1</f>
        <v>0.0676392572944298</v>
      </c>
      <c r="O14" s="10" t="n">
        <f aca="false">M14/M13-1</f>
        <v>0.0837209302325581</v>
      </c>
      <c r="P14" s="11" t="n">
        <f aca="false">IFERROR(SUMIFS(Calendar!$M$2:$M$426,Calendar!$A$2:$A$426,$A14)/((SUMIFS(Calendar!$G$2:$G$426,Calendar!$A$2:$A$426,$A14,Calendar!$E$2:$E$426,"Swim"))+(SUMIFS(Calendar!$G$2:$G$426,Calendar!$A$2:$A$426,$A14,Calendar!$E$2:$E$426,"Bike"))+(SUMIFS(Calendar!$G$2:$G$426,Calendar!$A$2:$A$426,$A14,Calendar!$E$2:$E$426,"Run"))),0)</f>
        <v>0.104166666666667</v>
      </c>
    </row>
    <row r="15" customFormat="false" ht="35.05" hidden="false" customHeight="false" outlineLevel="0" collapsed="false">
      <c r="A15" s="14" t="n">
        <v>14</v>
      </c>
      <c r="B15" s="15" t="n">
        <v>46398</v>
      </c>
      <c r="C15" s="14" t="s">
        <v>85</v>
      </c>
      <c r="D15" s="14" t="s">
        <v>78</v>
      </c>
      <c r="E15" s="14" t="s">
        <v>89</v>
      </c>
      <c r="F15" s="9" t="n">
        <f aca="false">SUMIFS(Calendar!$G$2:$G$426,Calendar!$A$2:$A$426,$A15)/60</f>
        <v>9.25</v>
      </c>
      <c r="G15" s="9" t="n">
        <f aca="false">SUMIFS(Calendar!$G$2:$G$426,Calendar!$A$2:$A$426,$A15,Calendar!$E$2:$E$426,"Swim")/60</f>
        <v>2.16666666666667</v>
      </c>
      <c r="H15" s="9" t="n">
        <f aca="false">SUMIFS(Calendar!$G$2:$G$426,Calendar!$A$2:$A$426,$A15,Calendar!$E$2:$E$426,"Bike")/60</f>
        <v>4.25</v>
      </c>
      <c r="I15" s="9" t="n">
        <f aca="false">SUMIFS(Calendar!$G$2:$G$426,Calendar!$A$2:$A$426,$A15,Calendar!$E$2:$E$426,"Run")/60</f>
        <v>1.83333333333333</v>
      </c>
      <c r="J15" s="9" t="n">
        <f aca="false">SUMIFS(Calendar!$G$2:$G$426,Calendar!$A$2:$A$426,$A15,Calendar!$E$2:$E$426,"Strength")/60</f>
        <v>1</v>
      </c>
      <c r="K15" s="9" t="n">
        <f aca="false">SUMIFS(Calendar!$G$2:$G$426,Calendar!$A$2:$A$426,$A15,Calendar!$E$2:$E$426,"Race")/60</f>
        <v>0</v>
      </c>
      <c r="L15" s="9" t="n">
        <f aca="false">SUMIFS(Calendar!$H$2:$H$426,Calendar!$A$2:$A$426,$A15,Calendar!$E$2:$E$426,"Swim")</f>
        <v>5.8</v>
      </c>
      <c r="M15" s="9" t="n">
        <f aca="false">SUMIFS(Calendar!$H$2:$H$426,Calendar!$A$2:$A$426,$A15,Calendar!$E$2:$E$426,"Run")</f>
        <v>18.3</v>
      </c>
      <c r="N15" s="10" t="s">
        <v>71</v>
      </c>
      <c r="O15" s="10" t="s">
        <v>71</v>
      </c>
      <c r="P15" s="11" t="n">
        <f aca="false">IFERROR(SUMIFS(Calendar!$M$2:$M$426,Calendar!$A$2:$A$426,$A15)/((SUMIFS(Calendar!$G$2:$G$426,Calendar!$A$2:$A$426,$A15,Calendar!$E$2:$E$426,"Swim"))+(SUMIFS(Calendar!$G$2:$G$426,Calendar!$A$2:$A$426,$A15,Calendar!$E$2:$E$426,"Bike"))+(SUMIFS(Calendar!$G$2:$G$426,Calendar!$A$2:$A$426,$A15,Calendar!$E$2:$E$426,"Run"))),0)</f>
        <v>0.0404040404040404</v>
      </c>
    </row>
    <row r="16" customFormat="false" ht="23.85" hidden="false" customHeight="false" outlineLevel="0" collapsed="false">
      <c r="A16" s="7" t="n">
        <v>15</v>
      </c>
      <c r="B16" s="8" t="n">
        <v>46405</v>
      </c>
      <c r="C16" s="7" t="s">
        <v>90</v>
      </c>
      <c r="D16" s="7" t="s">
        <v>69</v>
      </c>
      <c r="E16" s="7" t="s">
        <v>91</v>
      </c>
      <c r="F16" s="9" t="n">
        <f aca="false">SUMIFS(Calendar!$G$2:$G$426,Calendar!$A$2:$A$426,$A16)/60</f>
        <v>13.6166666666667</v>
      </c>
      <c r="G16" s="9" t="n">
        <f aca="false">SUMIFS(Calendar!$G$2:$G$426,Calendar!$A$2:$A$426,$A16,Calendar!$E$2:$E$426,"Swim")/60</f>
        <v>3.08333333333333</v>
      </c>
      <c r="H16" s="9" t="n">
        <f aca="false">SUMIFS(Calendar!$G$2:$G$426,Calendar!$A$2:$A$426,$A16,Calendar!$E$2:$E$426,"Bike")/60</f>
        <v>6.83333333333333</v>
      </c>
      <c r="I16" s="9" t="n">
        <f aca="false">SUMIFS(Calendar!$G$2:$G$426,Calendar!$A$2:$A$426,$A16,Calendar!$E$2:$E$426,"Run")/60</f>
        <v>2.53333333333333</v>
      </c>
      <c r="J16" s="9" t="n">
        <f aca="false">SUMIFS(Calendar!$G$2:$G$426,Calendar!$A$2:$A$426,$A16,Calendar!$E$2:$E$426,"Strength")/60</f>
        <v>1.16666666666667</v>
      </c>
      <c r="K16" s="9" t="n">
        <f aca="false">SUMIFS(Calendar!$G$2:$G$426,Calendar!$A$2:$A$426,$A16,Calendar!$E$2:$E$426,"Race")/60</f>
        <v>0</v>
      </c>
      <c r="L16" s="9" t="n">
        <f aca="false">SUMIFS(Calendar!$H$2:$H$426,Calendar!$A$2:$A$426,$A16,Calendar!$E$2:$E$426,"Swim")</f>
        <v>9</v>
      </c>
      <c r="M16" s="9" t="n">
        <f aca="false">SUMIFS(Calendar!$H$2:$H$426,Calendar!$A$2:$A$426,$A16,Calendar!$E$2:$E$426,"Run")</f>
        <v>25.3</v>
      </c>
      <c r="N16" s="10" t="n">
        <f aca="false">F16/F14-1</f>
        <v>0.0149068322981367</v>
      </c>
      <c r="O16" s="10" t="n">
        <f aca="false">M16/M14-1</f>
        <v>0.0858369098712446</v>
      </c>
      <c r="P16" s="11" t="n">
        <f aca="false">IFERROR(SUMIFS(Calendar!$M$2:$M$426,Calendar!$A$2:$A$426,$A16)/((SUMIFS(Calendar!$G$2:$G$426,Calendar!$A$2:$A$426,$A16,Calendar!$E$2:$E$426,"Swim"))+(SUMIFS(Calendar!$G$2:$G$426,Calendar!$A$2:$A$426,$A16,Calendar!$E$2:$E$426,"Bike"))+(SUMIFS(Calendar!$G$2:$G$426,Calendar!$A$2:$A$426,$A16,Calendar!$E$2:$E$426,"Run"))),0)</f>
        <v>0.101740294511379</v>
      </c>
    </row>
    <row r="17" customFormat="false" ht="15" hidden="false" customHeight="false" outlineLevel="0" collapsed="false">
      <c r="A17" s="7" t="n">
        <v>16</v>
      </c>
      <c r="B17" s="8" t="n">
        <v>46412</v>
      </c>
      <c r="C17" s="7" t="s">
        <v>90</v>
      </c>
      <c r="D17" s="7" t="s">
        <v>69</v>
      </c>
      <c r="E17" s="7" t="s">
        <v>92</v>
      </c>
      <c r="F17" s="9" t="n">
        <f aca="false">SUMIFS(Calendar!$G$2:$G$426,Calendar!$A$2:$A$426,$A17)/60</f>
        <v>14.2166666666667</v>
      </c>
      <c r="G17" s="9" t="n">
        <f aca="false">SUMIFS(Calendar!$G$2:$G$426,Calendar!$A$2:$A$426,$A17,Calendar!$E$2:$E$426,"Swim")/60</f>
        <v>3.16666666666667</v>
      </c>
      <c r="H17" s="9" t="n">
        <f aca="false">SUMIFS(Calendar!$G$2:$G$426,Calendar!$A$2:$A$426,$A17,Calendar!$E$2:$E$426,"Bike")/60</f>
        <v>7.16666666666667</v>
      </c>
      <c r="I17" s="9" t="n">
        <f aca="false">SUMIFS(Calendar!$G$2:$G$426,Calendar!$A$2:$A$426,$A17,Calendar!$E$2:$E$426,"Run")/60</f>
        <v>2.71666666666667</v>
      </c>
      <c r="J17" s="9" t="n">
        <f aca="false">SUMIFS(Calendar!$G$2:$G$426,Calendar!$A$2:$A$426,$A17,Calendar!$E$2:$E$426,"Strength")/60</f>
        <v>1.16666666666667</v>
      </c>
      <c r="K17" s="9" t="n">
        <f aca="false">SUMIFS(Calendar!$G$2:$G$426,Calendar!$A$2:$A$426,$A17,Calendar!$E$2:$E$426,"Race")/60</f>
        <v>0</v>
      </c>
      <c r="L17" s="9" t="n">
        <f aca="false">SUMIFS(Calendar!$H$2:$H$426,Calendar!$A$2:$A$426,$A17,Calendar!$E$2:$E$426,"Swim")</f>
        <v>9.3</v>
      </c>
      <c r="M17" s="9" t="n">
        <f aca="false">SUMIFS(Calendar!$H$2:$H$426,Calendar!$A$2:$A$426,$A17,Calendar!$E$2:$E$426,"Run")</f>
        <v>27.2</v>
      </c>
      <c r="N17" s="10" t="n">
        <f aca="false">F17/F16-1</f>
        <v>0.04406364749082</v>
      </c>
      <c r="O17" s="10" t="n">
        <f aca="false">M17/M16-1</f>
        <v>0.075098814229249</v>
      </c>
      <c r="P17" s="11" t="n">
        <f aca="false">IFERROR(SUMIFS(Calendar!$M$2:$M$426,Calendar!$A$2:$A$426,$A17)/((SUMIFS(Calendar!$G$2:$G$426,Calendar!$A$2:$A$426,$A17,Calendar!$E$2:$E$426,"Swim"))+(SUMIFS(Calendar!$G$2:$G$426,Calendar!$A$2:$A$426,$A17,Calendar!$E$2:$E$426,"Bike"))+(SUMIFS(Calendar!$G$2:$G$426,Calendar!$A$2:$A$426,$A17,Calendar!$E$2:$E$426,"Run"))),0)</f>
        <v>0.116219667943806</v>
      </c>
    </row>
    <row r="18" customFormat="false" ht="15" hidden="false" customHeight="false" outlineLevel="0" collapsed="false">
      <c r="A18" s="7" t="n">
        <v>17</v>
      </c>
      <c r="B18" s="8" t="n">
        <v>46419</v>
      </c>
      <c r="C18" s="7" t="s">
        <v>90</v>
      </c>
      <c r="D18" s="7" t="s">
        <v>69</v>
      </c>
      <c r="E18" s="7" t="s">
        <v>93</v>
      </c>
      <c r="F18" s="9" t="n">
        <f aca="false">SUMIFS(Calendar!$G$2:$G$426,Calendar!$A$2:$A$426,$A18)/60</f>
        <v>14.65</v>
      </c>
      <c r="G18" s="9" t="n">
        <f aca="false">SUMIFS(Calendar!$G$2:$G$426,Calendar!$A$2:$A$426,$A18,Calendar!$E$2:$E$426,"Swim")/60</f>
        <v>2.91666666666667</v>
      </c>
      <c r="H18" s="9" t="n">
        <f aca="false">SUMIFS(Calendar!$G$2:$G$426,Calendar!$A$2:$A$426,$A18,Calendar!$E$2:$E$426,"Bike")/60</f>
        <v>7.66666666666667</v>
      </c>
      <c r="I18" s="9" t="n">
        <f aca="false">SUMIFS(Calendar!$G$2:$G$426,Calendar!$A$2:$A$426,$A18,Calendar!$E$2:$E$426,"Run")/60</f>
        <v>2.9</v>
      </c>
      <c r="J18" s="9" t="n">
        <f aca="false">SUMIFS(Calendar!$G$2:$G$426,Calendar!$A$2:$A$426,$A18,Calendar!$E$2:$E$426,"Strength")/60</f>
        <v>1.16666666666667</v>
      </c>
      <c r="K18" s="9" t="n">
        <f aca="false">SUMIFS(Calendar!$G$2:$G$426,Calendar!$A$2:$A$426,$A18,Calendar!$E$2:$E$426,"Race")/60</f>
        <v>0</v>
      </c>
      <c r="L18" s="9" t="n">
        <f aca="false">SUMIFS(Calendar!$H$2:$H$426,Calendar!$A$2:$A$426,$A18,Calendar!$E$2:$E$426,"Swim")</f>
        <v>8.4</v>
      </c>
      <c r="M18" s="9" t="n">
        <f aca="false">SUMIFS(Calendar!$H$2:$H$426,Calendar!$A$2:$A$426,$A18,Calendar!$E$2:$E$426,"Run")</f>
        <v>29</v>
      </c>
      <c r="N18" s="10" t="n">
        <f aca="false">F18/F17-1</f>
        <v>0.0304806565064479</v>
      </c>
      <c r="O18" s="10" t="n">
        <f aca="false">M18/M17-1</f>
        <v>0.0661764705882353</v>
      </c>
      <c r="P18" s="11" t="n">
        <f aca="false">IFERROR(SUMIFS(Calendar!$M$2:$M$426,Calendar!$A$2:$A$426,$A18)/((SUMIFS(Calendar!$G$2:$G$426,Calendar!$A$2:$A$426,$A18,Calendar!$E$2:$E$426,"Swim"))+(SUMIFS(Calendar!$G$2:$G$426,Calendar!$A$2:$A$426,$A18,Calendar!$E$2:$E$426,"Bike"))+(SUMIFS(Calendar!$G$2:$G$426,Calendar!$A$2:$A$426,$A18,Calendar!$E$2:$E$426,"Run"))),0)</f>
        <v>0.128553770086527</v>
      </c>
    </row>
    <row r="19" customFormat="false" ht="15" hidden="false" customHeight="false" outlineLevel="0" collapsed="false">
      <c r="A19" s="14" t="n">
        <v>18</v>
      </c>
      <c r="B19" s="15" t="n">
        <v>46426</v>
      </c>
      <c r="C19" s="14" t="s">
        <v>90</v>
      </c>
      <c r="D19" s="14" t="s">
        <v>78</v>
      </c>
      <c r="E19" s="14" t="s">
        <v>94</v>
      </c>
      <c r="F19" s="9" t="n">
        <f aca="false">SUMIFS(Calendar!$G$2:$G$426,Calendar!$A$2:$A$426,$A19)/60</f>
        <v>10.8333333333333</v>
      </c>
      <c r="G19" s="9" t="n">
        <f aca="false">SUMIFS(Calendar!$G$2:$G$426,Calendar!$A$2:$A$426,$A19,Calendar!$E$2:$E$426,"Swim")/60</f>
        <v>2</v>
      </c>
      <c r="H19" s="9" t="n">
        <f aca="false">SUMIFS(Calendar!$G$2:$G$426,Calendar!$A$2:$A$426,$A19,Calendar!$E$2:$E$426,"Bike")/60</f>
        <v>5.5</v>
      </c>
      <c r="I19" s="9" t="n">
        <f aca="false">SUMIFS(Calendar!$G$2:$G$426,Calendar!$A$2:$A$426,$A19,Calendar!$E$2:$E$426,"Run")/60</f>
        <v>2.41666666666667</v>
      </c>
      <c r="J19" s="9" t="n">
        <f aca="false">SUMIFS(Calendar!$G$2:$G$426,Calendar!$A$2:$A$426,$A19,Calendar!$E$2:$E$426,"Strength")/60</f>
        <v>0.916666666666667</v>
      </c>
      <c r="K19" s="9" t="n">
        <f aca="false">SUMIFS(Calendar!$G$2:$G$426,Calendar!$A$2:$A$426,$A19,Calendar!$E$2:$E$426,"Race")/60</f>
        <v>0</v>
      </c>
      <c r="L19" s="9" t="n">
        <f aca="false">SUMIFS(Calendar!$H$2:$H$426,Calendar!$A$2:$A$426,$A19,Calendar!$E$2:$E$426,"Swim")</f>
        <v>5.2</v>
      </c>
      <c r="M19" s="9" t="n">
        <f aca="false">SUMIFS(Calendar!$H$2:$H$426,Calendar!$A$2:$A$426,$A19,Calendar!$E$2:$E$426,"Run")</f>
        <v>24.1</v>
      </c>
      <c r="N19" s="10" t="s">
        <v>71</v>
      </c>
      <c r="O19" s="10" t="s">
        <v>71</v>
      </c>
      <c r="P19" s="11" t="n">
        <f aca="false">IFERROR(SUMIFS(Calendar!$M$2:$M$426,Calendar!$A$2:$A$426,$A19)/((SUMIFS(Calendar!$G$2:$G$426,Calendar!$A$2:$A$426,$A19,Calendar!$E$2:$E$426,"Swim"))+(SUMIFS(Calendar!$G$2:$G$426,Calendar!$A$2:$A$426,$A19,Calendar!$E$2:$E$426,"Bike"))+(SUMIFS(Calendar!$G$2:$G$426,Calendar!$A$2:$A$426,$A19,Calendar!$E$2:$E$426,"Run"))),0)</f>
        <v>0.0252100840336134</v>
      </c>
    </row>
    <row r="20" customFormat="false" ht="23.85" hidden="false" customHeight="false" outlineLevel="0" collapsed="false">
      <c r="A20" s="7" t="n">
        <v>19</v>
      </c>
      <c r="B20" s="8" t="n">
        <v>46433</v>
      </c>
      <c r="C20" s="7" t="s">
        <v>95</v>
      </c>
      <c r="D20" s="7" t="s">
        <v>69</v>
      </c>
      <c r="E20" s="7" t="s">
        <v>96</v>
      </c>
      <c r="F20" s="9" t="n">
        <f aca="false">SUMIFS(Calendar!$G$2:$G$426,Calendar!$A$2:$A$426,$A20)/60</f>
        <v>15.1</v>
      </c>
      <c r="G20" s="9" t="n">
        <f aca="false">SUMIFS(Calendar!$G$2:$G$426,Calendar!$A$2:$A$426,$A20,Calendar!$E$2:$E$426,"Swim")/60</f>
        <v>2.91666666666667</v>
      </c>
      <c r="H20" s="9" t="n">
        <f aca="false">SUMIFS(Calendar!$G$2:$G$426,Calendar!$A$2:$A$426,$A20,Calendar!$E$2:$E$426,"Bike")/60</f>
        <v>7.91666666666667</v>
      </c>
      <c r="I20" s="9" t="n">
        <f aca="false">SUMIFS(Calendar!$G$2:$G$426,Calendar!$A$2:$A$426,$A20,Calendar!$E$2:$E$426,"Run")/60</f>
        <v>3.1</v>
      </c>
      <c r="J20" s="9" t="n">
        <f aca="false">SUMIFS(Calendar!$G$2:$G$426,Calendar!$A$2:$A$426,$A20,Calendar!$E$2:$E$426,"Strength")/60</f>
        <v>1.16666666666667</v>
      </c>
      <c r="K20" s="9" t="n">
        <f aca="false">SUMIFS(Calendar!$G$2:$G$426,Calendar!$A$2:$A$426,$A20,Calendar!$E$2:$E$426,"Race")/60</f>
        <v>0</v>
      </c>
      <c r="L20" s="9" t="n">
        <f aca="false">SUMIFS(Calendar!$H$2:$H$426,Calendar!$A$2:$A$426,$A20,Calendar!$E$2:$E$426,"Swim")</f>
        <v>8.4</v>
      </c>
      <c r="M20" s="9" t="n">
        <f aca="false">SUMIFS(Calendar!$H$2:$H$426,Calendar!$A$2:$A$426,$A20,Calendar!$E$2:$E$426,"Run")</f>
        <v>31</v>
      </c>
      <c r="N20" s="10" t="n">
        <f aca="false">F20/F18-1</f>
        <v>0.0307167235494881</v>
      </c>
      <c r="O20" s="10" t="n">
        <f aca="false">M20/M18-1</f>
        <v>0.0689655172413792</v>
      </c>
      <c r="P20" s="11" t="n">
        <f aca="false">IFERROR(SUMIFS(Calendar!$M$2:$M$426,Calendar!$A$2:$A$426,$A20)/((SUMIFS(Calendar!$G$2:$G$426,Calendar!$A$2:$A$426,$A20,Calendar!$E$2:$E$426,"Swim"))+(SUMIFS(Calendar!$G$2:$G$426,Calendar!$A$2:$A$426,$A20,Calendar!$E$2:$E$426,"Bike"))+(SUMIFS(Calendar!$G$2:$G$426,Calendar!$A$2:$A$426,$A20,Calendar!$E$2:$E$426,"Run"))),0)</f>
        <v>0.105263157894737</v>
      </c>
    </row>
    <row r="21" customFormat="false" ht="15" hidden="false" customHeight="false" outlineLevel="0" collapsed="false">
      <c r="A21" s="7" t="n">
        <v>20</v>
      </c>
      <c r="B21" s="8" t="n">
        <v>46440</v>
      </c>
      <c r="C21" s="7" t="s">
        <v>95</v>
      </c>
      <c r="D21" s="7" t="s">
        <v>69</v>
      </c>
      <c r="E21" s="7" t="s">
        <v>97</v>
      </c>
      <c r="F21" s="9" t="n">
        <f aca="false">SUMIFS(Calendar!$G$2:$G$426,Calendar!$A$2:$A$426,$A21)/60</f>
        <v>16.0333333333333</v>
      </c>
      <c r="G21" s="9" t="n">
        <f aca="false">SUMIFS(Calendar!$G$2:$G$426,Calendar!$A$2:$A$426,$A21,Calendar!$E$2:$E$426,"Swim")/60</f>
        <v>3.16666666666667</v>
      </c>
      <c r="H21" s="9" t="n">
        <f aca="false">SUMIFS(Calendar!$G$2:$G$426,Calendar!$A$2:$A$426,$A21,Calendar!$E$2:$E$426,"Bike")/60</f>
        <v>8.33333333333333</v>
      </c>
      <c r="I21" s="9" t="n">
        <f aca="false">SUMIFS(Calendar!$G$2:$G$426,Calendar!$A$2:$A$426,$A21,Calendar!$E$2:$E$426,"Run")/60</f>
        <v>3.36666666666667</v>
      </c>
      <c r="J21" s="9" t="n">
        <f aca="false">SUMIFS(Calendar!$G$2:$G$426,Calendar!$A$2:$A$426,$A21,Calendar!$E$2:$E$426,"Strength")/60</f>
        <v>1.16666666666667</v>
      </c>
      <c r="K21" s="9" t="n">
        <f aca="false">SUMIFS(Calendar!$G$2:$G$426,Calendar!$A$2:$A$426,$A21,Calendar!$E$2:$E$426,"Race")/60</f>
        <v>0</v>
      </c>
      <c r="L21" s="9" t="n">
        <f aca="false">SUMIFS(Calendar!$H$2:$H$426,Calendar!$A$2:$A$426,$A21,Calendar!$E$2:$E$426,"Swim")</f>
        <v>9.1</v>
      </c>
      <c r="M21" s="9" t="n">
        <f aca="false">SUMIFS(Calendar!$H$2:$H$426,Calendar!$A$2:$A$426,$A21,Calendar!$E$2:$E$426,"Run")</f>
        <v>33.6</v>
      </c>
      <c r="N21" s="10" t="n">
        <f aca="false">F21/F20-1</f>
        <v>0.0618101545253864</v>
      </c>
      <c r="O21" s="10" t="n">
        <f aca="false">M21/M20-1</f>
        <v>0.0838709677419356</v>
      </c>
      <c r="P21" s="11" t="n">
        <f aca="false">IFERROR(SUMIFS(Calendar!$M$2:$M$426,Calendar!$A$2:$A$426,$A21)/((SUMIFS(Calendar!$G$2:$G$426,Calendar!$A$2:$A$426,$A21,Calendar!$E$2:$E$426,"Swim"))+(SUMIFS(Calendar!$G$2:$G$426,Calendar!$A$2:$A$426,$A21,Calendar!$E$2:$E$426,"Bike"))+(SUMIFS(Calendar!$G$2:$G$426,Calendar!$A$2:$A$426,$A21,Calendar!$E$2:$E$426,"Run"))),0)</f>
        <v>0.106502242152466</v>
      </c>
    </row>
    <row r="22" customFormat="false" ht="15" hidden="false" customHeight="false" outlineLevel="0" collapsed="false">
      <c r="A22" s="7" t="n">
        <v>21</v>
      </c>
      <c r="B22" s="8" t="n">
        <v>46447</v>
      </c>
      <c r="C22" s="7" t="s">
        <v>95</v>
      </c>
      <c r="D22" s="7" t="s">
        <v>69</v>
      </c>
      <c r="E22" s="7" t="s">
        <v>98</v>
      </c>
      <c r="F22" s="9" t="n">
        <f aca="false">SUMIFS(Calendar!$G$2:$G$426,Calendar!$A$2:$A$426,$A22)/60</f>
        <v>16.6666666666667</v>
      </c>
      <c r="G22" s="9" t="n">
        <f aca="false">SUMIFS(Calendar!$G$2:$G$426,Calendar!$A$2:$A$426,$A22,Calendar!$E$2:$E$426,"Swim")/60</f>
        <v>3.16666666666667</v>
      </c>
      <c r="H22" s="9" t="n">
        <f aca="false">SUMIFS(Calendar!$G$2:$G$426,Calendar!$A$2:$A$426,$A22,Calendar!$E$2:$E$426,"Bike")/60</f>
        <v>8.66666666666667</v>
      </c>
      <c r="I22" s="9" t="n">
        <f aca="false">SUMIFS(Calendar!$G$2:$G$426,Calendar!$A$2:$A$426,$A22,Calendar!$E$2:$E$426,"Run")/60</f>
        <v>3.66666666666667</v>
      </c>
      <c r="J22" s="9" t="n">
        <f aca="false">SUMIFS(Calendar!$G$2:$G$426,Calendar!$A$2:$A$426,$A22,Calendar!$E$2:$E$426,"Strength")/60</f>
        <v>1.16666666666667</v>
      </c>
      <c r="K22" s="9" t="n">
        <f aca="false">SUMIFS(Calendar!$G$2:$G$426,Calendar!$A$2:$A$426,$A22,Calendar!$E$2:$E$426,"Race")/60</f>
        <v>0</v>
      </c>
      <c r="L22" s="9" t="n">
        <f aca="false">SUMIFS(Calendar!$H$2:$H$426,Calendar!$A$2:$A$426,$A22,Calendar!$E$2:$E$426,"Swim")</f>
        <v>9.1</v>
      </c>
      <c r="M22" s="9" t="n">
        <f aca="false">SUMIFS(Calendar!$H$2:$H$426,Calendar!$A$2:$A$426,$A22,Calendar!$E$2:$E$426,"Run")</f>
        <v>36.7</v>
      </c>
      <c r="N22" s="10" t="n">
        <f aca="false">F22/F21-1</f>
        <v>0.0395010395010396</v>
      </c>
      <c r="O22" s="10" t="n">
        <f aca="false">M22/M21-1</f>
        <v>0.0922619047619049</v>
      </c>
      <c r="P22" s="11" t="n">
        <f aca="false">IFERROR(SUMIFS(Calendar!$M$2:$M$426,Calendar!$A$2:$A$426,$A22)/((SUMIFS(Calendar!$G$2:$G$426,Calendar!$A$2:$A$426,$A22,Calendar!$E$2:$E$426,"Swim"))+(SUMIFS(Calendar!$G$2:$G$426,Calendar!$A$2:$A$426,$A22,Calendar!$E$2:$E$426,"Bike"))+(SUMIFS(Calendar!$G$2:$G$426,Calendar!$A$2:$A$426,$A22,Calendar!$E$2:$E$426,"Run"))),0)</f>
        <v>0.117204301075269</v>
      </c>
    </row>
    <row r="23" customFormat="false" ht="15" hidden="false" customHeight="false" outlineLevel="0" collapsed="false">
      <c r="A23" s="14" t="n">
        <v>22</v>
      </c>
      <c r="B23" s="15" t="n">
        <v>46454</v>
      </c>
      <c r="C23" s="14" t="s">
        <v>95</v>
      </c>
      <c r="D23" s="14" t="s">
        <v>78</v>
      </c>
      <c r="E23" s="14" t="s">
        <v>99</v>
      </c>
      <c r="F23" s="9" t="n">
        <f aca="false">SUMIFS(Calendar!$G$2:$G$426,Calendar!$A$2:$A$426,$A23)/60</f>
        <v>12.0833333333333</v>
      </c>
      <c r="G23" s="9" t="n">
        <f aca="false">SUMIFS(Calendar!$G$2:$G$426,Calendar!$A$2:$A$426,$A23,Calendar!$E$2:$E$426,"Swim")/60</f>
        <v>2.33333333333333</v>
      </c>
      <c r="H23" s="9" t="n">
        <f aca="false">SUMIFS(Calendar!$G$2:$G$426,Calendar!$A$2:$A$426,$A23,Calendar!$E$2:$E$426,"Bike")/60</f>
        <v>5.5</v>
      </c>
      <c r="I23" s="9" t="n">
        <f aca="false">SUMIFS(Calendar!$G$2:$G$426,Calendar!$A$2:$A$426,$A23,Calendar!$E$2:$E$426,"Run")/60</f>
        <v>3.33333333333333</v>
      </c>
      <c r="J23" s="9" t="n">
        <f aca="false">SUMIFS(Calendar!$G$2:$G$426,Calendar!$A$2:$A$426,$A23,Calendar!$E$2:$E$426,"Strength")/60</f>
        <v>0.916666666666667</v>
      </c>
      <c r="K23" s="9" t="n">
        <f aca="false">SUMIFS(Calendar!$G$2:$G$426,Calendar!$A$2:$A$426,$A23,Calendar!$E$2:$E$426,"Race")/60</f>
        <v>0</v>
      </c>
      <c r="L23" s="9" t="n">
        <f aca="false">SUMIFS(Calendar!$H$2:$H$426,Calendar!$A$2:$A$426,$A23,Calendar!$E$2:$E$426,"Swim")</f>
        <v>6.4</v>
      </c>
      <c r="M23" s="9" t="n">
        <f aca="false">SUMIFS(Calendar!$H$2:$H$426,Calendar!$A$2:$A$426,$A23,Calendar!$E$2:$E$426,"Run")</f>
        <v>33.2</v>
      </c>
      <c r="N23" s="10" t="s">
        <v>71</v>
      </c>
      <c r="O23" s="10" t="s">
        <v>71</v>
      </c>
      <c r="P23" s="11" t="n">
        <f aca="false">IFERROR(SUMIFS(Calendar!$M$2:$M$426,Calendar!$A$2:$A$426,$A23)/((SUMIFS(Calendar!$G$2:$G$426,Calendar!$A$2:$A$426,$A23,Calendar!$E$2:$E$426,"Swim"))+(SUMIFS(Calendar!$G$2:$G$426,Calendar!$A$2:$A$426,$A23,Calendar!$E$2:$E$426,"Bike"))+(SUMIFS(Calendar!$G$2:$G$426,Calendar!$A$2:$A$426,$A23,Calendar!$E$2:$E$426,"Run"))),0)</f>
        <v>0.0597014925373134</v>
      </c>
    </row>
    <row r="24" customFormat="false" ht="23.85" hidden="false" customHeight="false" outlineLevel="0" collapsed="false">
      <c r="A24" s="16" t="n">
        <v>23</v>
      </c>
      <c r="B24" s="17" t="n">
        <v>46461</v>
      </c>
      <c r="C24" s="16" t="s">
        <v>100</v>
      </c>
      <c r="D24" s="16" t="s">
        <v>101</v>
      </c>
      <c r="E24" s="16" t="s">
        <v>102</v>
      </c>
      <c r="F24" s="9" t="n">
        <f aca="false">SUMIFS(Calendar!$G$2:$G$426,Calendar!$A$2:$A$426,$A24)/60</f>
        <v>11</v>
      </c>
      <c r="G24" s="9" t="n">
        <f aca="false">SUMIFS(Calendar!$G$2:$G$426,Calendar!$A$2:$A$426,$A24,Calendar!$E$2:$E$426,"Swim")/60</f>
        <v>2.08333333333333</v>
      </c>
      <c r="H24" s="9" t="n">
        <f aca="false">SUMIFS(Calendar!$G$2:$G$426,Calendar!$A$2:$A$426,$A24,Calendar!$E$2:$E$426,"Bike")/60</f>
        <v>2.33333333333333</v>
      </c>
      <c r="I24" s="9" t="n">
        <f aca="false">SUMIFS(Calendar!$G$2:$G$426,Calendar!$A$2:$A$426,$A24,Calendar!$E$2:$E$426,"Run")/60</f>
        <v>1.16666666666667</v>
      </c>
      <c r="J24" s="9" t="n">
        <f aca="false">SUMIFS(Calendar!$G$2:$G$426,Calendar!$A$2:$A$426,$A24,Calendar!$E$2:$E$426,"Strength")/60</f>
        <v>0.416666666666667</v>
      </c>
      <c r="K24" s="9" t="n">
        <f aca="false">SUMIFS(Calendar!$G$2:$G$426,Calendar!$A$2:$A$426,$A24,Calendar!$E$2:$E$426,"Race")/60</f>
        <v>5</v>
      </c>
      <c r="L24" s="9" t="n">
        <f aca="false">SUMIFS(Calendar!$H$2:$H$426,Calendar!$A$2:$A$426,$A24,Calendar!$E$2:$E$426,"Swim")</f>
        <v>6</v>
      </c>
      <c r="M24" s="9" t="n">
        <f aca="false">SUMIFS(Calendar!$H$2:$H$426,Calendar!$A$2:$A$426,$A24,Calendar!$E$2:$E$426,"Run")</f>
        <v>11.7</v>
      </c>
      <c r="N24" s="10" t="s">
        <v>71</v>
      </c>
      <c r="O24" s="10" t="s">
        <v>71</v>
      </c>
      <c r="P24" s="11" t="n">
        <f aca="false">IFERROR(SUMIFS(Calendar!$M$2:$M$426,Calendar!$A$2:$A$426,$A24)/((SUMIFS(Calendar!$G$2:$G$426,Calendar!$A$2:$A$426,$A24,Calendar!$E$2:$E$426,"Swim"))+(SUMIFS(Calendar!$G$2:$G$426,Calendar!$A$2:$A$426,$A24,Calendar!$E$2:$E$426,"Bike"))+(SUMIFS(Calendar!$G$2:$G$426,Calendar!$A$2:$A$426,$A24,Calendar!$E$2:$E$426,"Run"))),0)</f>
        <v>0.355223880597015</v>
      </c>
    </row>
    <row r="25" customFormat="false" ht="15" hidden="false" customHeight="false" outlineLevel="0" collapsed="false">
      <c r="A25" s="14" t="n">
        <v>24</v>
      </c>
      <c r="B25" s="15" t="n">
        <v>46468</v>
      </c>
      <c r="C25" s="14" t="s">
        <v>103</v>
      </c>
      <c r="D25" s="14" t="s">
        <v>78</v>
      </c>
      <c r="E25" s="14" t="s">
        <v>104</v>
      </c>
      <c r="F25" s="9" t="n">
        <f aca="false">SUMIFS(Calendar!$G$2:$G$426,Calendar!$A$2:$A$426,$A25)/60</f>
        <v>10.5833333333333</v>
      </c>
      <c r="G25" s="9" t="n">
        <f aca="false">SUMIFS(Calendar!$G$2:$G$426,Calendar!$A$2:$A$426,$A25,Calendar!$E$2:$E$426,"Swim")/60</f>
        <v>2.41666666666667</v>
      </c>
      <c r="H25" s="9" t="n">
        <f aca="false">SUMIFS(Calendar!$G$2:$G$426,Calendar!$A$2:$A$426,$A25,Calendar!$E$2:$E$426,"Bike")/60</f>
        <v>4.75</v>
      </c>
      <c r="I25" s="9" t="n">
        <f aca="false">SUMIFS(Calendar!$G$2:$G$426,Calendar!$A$2:$A$426,$A25,Calendar!$E$2:$E$426,"Run")/60</f>
        <v>2.5</v>
      </c>
      <c r="J25" s="9" t="n">
        <f aca="false">SUMIFS(Calendar!$G$2:$G$426,Calendar!$A$2:$A$426,$A25,Calendar!$E$2:$E$426,"Strength")/60</f>
        <v>0.916666666666667</v>
      </c>
      <c r="K25" s="9" t="n">
        <f aca="false">SUMIFS(Calendar!$G$2:$G$426,Calendar!$A$2:$A$426,$A25,Calendar!$E$2:$E$426,"Race")/60</f>
        <v>0</v>
      </c>
      <c r="L25" s="9" t="n">
        <f aca="false">SUMIFS(Calendar!$H$2:$H$426,Calendar!$A$2:$A$426,$A25,Calendar!$E$2:$E$426,"Swim")</f>
        <v>7.1</v>
      </c>
      <c r="M25" s="9" t="n">
        <f aca="false">SUMIFS(Calendar!$H$2:$H$426,Calendar!$A$2:$A$426,$A25,Calendar!$E$2:$E$426,"Run")</f>
        <v>25</v>
      </c>
      <c r="N25" s="10" t="s">
        <v>71</v>
      </c>
      <c r="O25" s="10" t="s">
        <v>71</v>
      </c>
      <c r="P25" s="11" t="n">
        <f aca="false">IFERROR(SUMIFS(Calendar!$M$2:$M$426,Calendar!$A$2:$A$426,$A25)/((SUMIFS(Calendar!$G$2:$G$426,Calendar!$A$2:$A$426,$A25,Calendar!$E$2:$E$426,"Swim"))+(SUMIFS(Calendar!$G$2:$G$426,Calendar!$A$2:$A$426,$A25,Calendar!$E$2:$E$426,"Bike"))+(SUMIFS(Calendar!$G$2:$G$426,Calendar!$A$2:$A$426,$A25,Calendar!$E$2:$E$426,"Run"))),0)</f>
        <v>0.00517241379310345</v>
      </c>
    </row>
    <row r="26" customFormat="false" ht="15" hidden="false" customHeight="false" outlineLevel="0" collapsed="false">
      <c r="A26" s="7" t="n">
        <v>25</v>
      </c>
      <c r="B26" s="8" t="n">
        <v>46475</v>
      </c>
      <c r="C26" s="7" t="s">
        <v>103</v>
      </c>
      <c r="D26" s="7" t="s">
        <v>69</v>
      </c>
      <c r="E26" s="7" t="s">
        <v>105</v>
      </c>
      <c r="F26" s="9" t="n">
        <f aca="false">SUMIFS(Calendar!$G$2:$G$426,Calendar!$A$2:$A$426,$A26)/60</f>
        <v>17.0833333333333</v>
      </c>
      <c r="G26" s="9" t="n">
        <f aca="false">SUMIFS(Calendar!$G$2:$G$426,Calendar!$A$2:$A$426,$A26,Calendar!$E$2:$E$426,"Swim")/60</f>
        <v>3.08333333333333</v>
      </c>
      <c r="H26" s="9" t="n">
        <f aca="false">SUMIFS(Calendar!$G$2:$G$426,Calendar!$A$2:$A$426,$A26,Calendar!$E$2:$E$426,"Bike")/60</f>
        <v>8.83333333333333</v>
      </c>
      <c r="I26" s="9" t="n">
        <f aca="false">SUMIFS(Calendar!$G$2:$G$426,Calendar!$A$2:$A$426,$A26,Calendar!$E$2:$E$426,"Run")/60</f>
        <v>4</v>
      </c>
      <c r="J26" s="9" t="n">
        <f aca="false">SUMIFS(Calendar!$G$2:$G$426,Calendar!$A$2:$A$426,$A26,Calendar!$E$2:$E$426,"Strength")/60</f>
        <v>1.16666666666667</v>
      </c>
      <c r="K26" s="9" t="n">
        <f aca="false">SUMIFS(Calendar!$G$2:$G$426,Calendar!$A$2:$A$426,$A26,Calendar!$E$2:$E$426,"Race")/60</f>
        <v>0</v>
      </c>
      <c r="L26" s="9" t="n">
        <f aca="false">SUMIFS(Calendar!$H$2:$H$426,Calendar!$A$2:$A$426,$A26,Calendar!$E$2:$E$426,"Swim")</f>
        <v>8.9</v>
      </c>
      <c r="M26" s="9" t="n">
        <f aca="false">SUMIFS(Calendar!$H$2:$H$426,Calendar!$A$2:$A$426,$A26,Calendar!$E$2:$E$426,"Run")</f>
        <v>40.1</v>
      </c>
      <c r="N26" s="10" t="n">
        <f aca="false">F26/F22-1</f>
        <v>0.0249999999999999</v>
      </c>
      <c r="O26" s="10" t="n">
        <f aca="false">M26/M22-1</f>
        <v>0.0926430517711172</v>
      </c>
      <c r="P26" s="11" t="n">
        <f aca="false">IFERROR(SUMIFS(Calendar!$M$2:$M$426,Calendar!$A$2:$A$426,$A26)/((SUMIFS(Calendar!$G$2:$G$426,Calendar!$A$2:$A$426,$A26,Calendar!$E$2:$E$426,"Swim"))+(SUMIFS(Calendar!$G$2:$G$426,Calendar!$A$2:$A$426,$A26,Calendar!$E$2:$E$426,"Bike"))+(SUMIFS(Calendar!$G$2:$G$426,Calendar!$A$2:$A$426,$A26,Calendar!$E$2:$E$426,"Run"))),0)</f>
        <v>0.105759162303665</v>
      </c>
    </row>
    <row r="27" customFormat="false" ht="15" hidden="false" customHeight="false" outlineLevel="0" collapsed="false">
      <c r="A27" s="7" t="n">
        <v>26</v>
      </c>
      <c r="B27" s="8" t="n">
        <v>46482</v>
      </c>
      <c r="C27" s="7" t="s">
        <v>103</v>
      </c>
      <c r="D27" s="7" t="s">
        <v>69</v>
      </c>
      <c r="E27" s="7" t="s">
        <v>106</v>
      </c>
      <c r="F27" s="9" t="n">
        <f aca="false">SUMIFS(Calendar!$G$2:$G$426,Calendar!$A$2:$A$426,$A27)/60</f>
        <v>18.05</v>
      </c>
      <c r="G27" s="9" t="n">
        <f aca="false">SUMIFS(Calendar!$G$2:$G$426,Calendar!$A$2:$A$426,$A27,Calendar!$E$2:$E$426,"Swim")/60</f>
        <v>3.16666666666667</v>
      </c>
      <c r="H27" s="9" t="n">
        <f aca="false">SUMIFS(Calendar!$G$2:$G$426,Calendar!$A$2:$A$426,$A27,Calendar!$E$2:$E$426,"Bike")/60</f>
        <v>9.33333333333333</v>
      </c>
      <c r="I27" s="9" t="n">
        <f aca="false">SUMIFS(Calendar!$G$2:$G$426,Calendar!$A$2:$A$426,$A27,Calendar!$E$2:$E$426,"Run")/60</f>
        <v>4.38333333333333</v>
      </c>
      <c r="J27" s="9" t="n">
        <f aca="false">SUMIFS(Calendar!$G$2:$G$426,Calendar!$A$2:$A$426,$A27,Calendar!$E$2:$E$426,"Strength")/60</f>
        <v>1.16666666666667</v>
      </c>
      <c r="K27" s="9" t="n">
        <f aca="false">SUMIFS(Calendar!$G$2:$G$426,Calendar!$A$2:$A$426,$A27,Calendar!$E$2:$E$426,"Race")/60</f>
        <v>0</v>
      </c>
      <c r="L27" s="9" t="n">
        <f aca="false">SUMIFS(Calendar!$H$2:$H$426,Calendar!$A$2:$A$426,$A27,Calendar!$E$2:$E$426,"Swim")</f>
        <v>9.1</v>
      </c>
      <c r="M27" s="9" t="n">
        <f aca="false">SUMIFS(Calendar!$H$2:$H$426,Calendar!$A$2:$A$426,$A27,Calendar!$E$2:$E$426,"Run")</f>
        <v>43.9</v>
      </c>
      <c r="N27" s="10" t="n">
        <f aca="false">F27/F26-1</f>
        <v>0.0565853658536586</v>
      </c>
      <c r="O27" s="10" t="n">
        <f aca="false">M27/M26-1</f>
        <v>0.0947630922693266</v>
      </c>
      <c r="P27" s="11" t="n">
        <f aca="false">IFERROR(SUMIFS(Calendar!$M$2:$M$426,Calendar!$A$2:$A$426,$A27)/((SUMIFS(Calendar!$G$2:$G$426,Calendar!$A$2:$A$426,$A27,Calendar!$E$2:$E$426,"Swim"))+(SUMIFS(Calendar!$G$2:$G$426,Calendar!$A$2:$A$426,$A27,Calendar!$E$2:$E$426,"Bike"))+(SUMIFS(Calendar!$G$2:$G$426,Calendar!$A$2:$A$426,$A27,Calendar!$E$2:$E$426,"Run"))),0)</f>
        <v>0.0997038499506417</v>
      </c>
    </row>
    <row r="28" customFormat="false" ht="15" hidden="false" customHeight="false" outlineLevel="0" collapsed="false">
      <c r="A28" s="12" t="n">
        <v>27</v>
      </c>
      <c r="B28" s="13" t="n">
        <v>46489</v>
      </c>
      <c r="C28" s="12" t="s">
        <v>103</v>
      </c>
      <c r="D28" s="12" t="s">
        <v>72</v>
      </c>
      <c r="E28" s="12" t="s">
        <v>107</v>
      </c>
      <c r="F28" s="9" t="n">
        <f aca="false">SUMIFS(Calendar!$G$2:$G$426,Calendar!$A$2:$A$426,$A28)/60</f>
        <v>14.4333333333333</v>
      </c>
      <c r="G28" s="9" t="n">
        <f aca="false">SUMIFS(Calendar!$G$2:$G$426,Calendar!$A$2:$A$426,$A28,Calendar!$E$2:$E$426,"Swim")/60</f>
        <v>3</v>
      </c>
      <c r="H28" s="9" t="n">
        <f aca="false">SUMIFS(Calendar!$G$2:$G$426,Calendar!$A$2:$A$426,$A28,Calendar!$E$2:$E$426,"Bike")/60</f>
        <v>7</v>
      </c>
      <c r="I28" s="9" t="n">
        <f aca="false">SUMIFS(Calendar!$G$2:$G$426,Calendar!$A$2:$A$426,$A28,Calendar!$E$2:$E$426,"Run")/60</f>
        <v>3.51666666666667</v>
      </c>
      <c r="J28" s="9" t="n">
        <f aca="false">SUMIFS(Calendar!$G$2:$G$426,Calendar!$A$2:$A$426,$A28,Calendar!$E$2:$E$426,"Strength")/60</f>
        <v>0.916666666666667</v>
      </c>
      <c r="K28" s="9" t="n">
        <f aca="false">SUMIFS(Calendar!$G$2:$G$426,Calendar!$A$2:$A$426,$A28,Calendar!$E$2:$E$426,"Race")/60</f>
        <v>0</v>
      </c>
      <c r="L28" s="9" t="n">
        <f aca="false">SUMIFS(Calendar!$H$2:$H$426,Calendar!$A$2:$A$426,$A28,Calendar!$E$2:$E$426,"Swim")</f>
        <v>8.8</v>
      </c>
      <c r="M28" s="9" t="n">
        <f aca="false">SUMIFS(Calendar!$H$2:$H$426,Calendar!$A$2:$A$426,$A28,Calendar!$E$2:$E$426,"Run")</f>
        <v>35.2</v>
      </c>
      <c r="N28" s="10" t="s">
        <v>71</v>
      </c>
      <c r="O28" s="10" t="s">
        <v>71</v>
      </c>
      <c r="P28" s="11" t="n">
        <f aca="false">IFERROR(SUMIFS(Calendar!$M$2:$M$426,Calendar!$A$2:$A$426,$A28)/((SUMIFS(Calendar!$G$2:$G$426,Calendar!$A$2:$A$426,$A28,Calendar!$E$2:$E$426,"Swim"))+(SUMIFS(Calendar!$G$2:$G$426,Calendar!$A$2:$A$426,$A28,Calendar!$E$2:$E$426,"Bike"))+(SUMIFS(Calendar!$G$2:$G$426,Calendar!$A$2:$A$426,$A28,Calendar!$E$2:$E$426,"Run"))),0)</f>
        <v>0.0678175092478422</v>
      </c>
    </row>
    <row r="29" customFormat="false" ht="15" hidden="false" customHeight="false" outlineLevel="0" collapsed="false">
      <c r="A29" s="16" t="n">
        <v>28</v>
      </c>
      <c r="B29" s="17" t="n">
        <v>46496</v>
      </c>
      <c r="C29" s="16" t="s">
        <v>108</v>
      </c>
      <c r="D29" s="16" t="s">
        <v>101</v>
      </c>
      <c r="E29" s="16" t="s">
        <v>109</v>
      </c>
      <c r="F29" s="9" t="n">
        <f aca="false">SUMIFS(Calendar!$G$2:$G$426,Calendar!$A$2:$A$426,$A29)/60</f>
        <v>8.33333333333333</v>
      </c>
      <c r="G29" s="9" t="n">
        <f aca="false">SUMIFS(Calendar!$G$2:$G$426,Calendar!$A$2:$A$426,$A29,Calendar!$E$2:$E$426,"Swim")/60</f>
        <v>1.16666666666667</v>
      </c>
      <c r="H29" s="9" t="n">
        <f aca="false">SUMIFS(Calendar!$G$2:$G$426,Calendar!$A$2:$A$426,$A29,Calendar!$E$2:$E$426,"Bike")/60</f>
        <v>1.75</v>
      </c>
      <c r="I29" s="9" t="n">
        <f aca="false">SUMIFS(Calendar!$G$2:$G$426,Calendar!$A$2:$A$426,$A29,Calendar!$E$2:$E$426,"Run")/60</f>
        <v>1.33333333333333</v>
      </c>
      <c r="J29" s="9" t="n">
        <f aca="false">SUMIFS(Calendar!$G$2:$G$426,Calendar!$A$2:$A$426,$A29,Calendar!$E$2:$E$426,"Strength")/60</f>
        <v>0</v>
      </c>
      <c r="K29" s="9" t="n">
        <f aca="false">SUMIFS(Calendar!$G$2:$G$426,Calendar!$A$2:$A$426,$A29,Calendar!$E$2:$E$426,"Race")/60</f>
        <v>4.08333333333333</v>
      </c>
      <c r="L29" s="9" t="n">
        <f aca="false">SUMIFS(Calendar!$H$2:$H$426,Calendar!$A$2:$A$426,$A29,Calendar!$E$2:$E$426,"Swim")</f>
        <v>3.2</v>
      </c>
      <c r="M29" s="9" t="n">
        <f aca="false">SUMIFS(Calendar!$H$2:$H$426,Calendar!$A$2:$A$426,$A29,Calendar!$E$2:$E$426,"Run")</f>
        <v>13.5</v>
      </c>
      <c r="N29" s="10" t="s">
        <v>71</v>
      </c>
      <c r="O29" s="10" t="s">
        <v>71</v>
      </c>
      <c r="P29" s="11" t="n">
        <f aca="false">IFERROR(SUMIFS(Calendar!$M$2:$M$426,Calendar!$A$2:$A$426,$A29)/((SUMIFS(Calendar!$G$2:$G$426,Calendar!$A$2:$A$426,$A29,Calendar!$E$2:$E$426,"Swim"))+(SUMIFS(Calendar!$G$2:$G$426,Calendar!$A$2:$A$426,$A29,Calendar!$E$2:$E$426,"Bike"))+(SUMIFS(Calendar!$G$2:$G$426,Calendar!$A$2:$A$426,$A29,Calendar!$E$2:$E$426,"Run"))),0)</f>
        <v>0.0117647058823529</v>
      </c>
    </row>
    <row r="30" customFormat="false" ht="15" hidden="false" customHeight="false" outlineLevel="0" collapsed="false">
      <c r="A30" s="14" t="n">
        <v>29</v>
      </c>
      <c r="B30" s="15" t="n">
        <v>46503</v>
      </c>
      <c r="C30" s="14" t="s">
        <v>108</v>
      </c>
      <c r="D30" s="14" t="s">
        <v>78</v>
      </c>
      <c r="E30" s="14" t="s">
        <v>110</v>
      </c>
      <c r="F30" s="9" t="n">
        <f aca="false">SUMIFS(Calendar!$G$2:$G$426,Calendar!$A$2:$A$426,$A30)/60</f>
        <v>4.16666666666667</v>
      </c>
      <c r="G30" s="9" t="n">
        <f aca="false">SUMIFS(Calendar!$G$2:$G$426,Calendar!$A$2:$A$426,$A30,Calendar!$E$2:$E$426,"Swim")/60</f>
        <v>2.08333333333333</v>
      </c>
      <c r="H30" s="9" t="n">
        <f aca="false">SUMIFS(Calendar!$G$2:$G$426,Calendar!$A$2:$A$426,$A30,Calendar!$E$2:$E$426,"Bike")/60</f>
        <v>1.16666666666667</v>
      </c>
      <c r="I30" s="9" t="n">
        <f aca="false">SUMIFS(Calendar!$G$2:$G$426,Calendar!$A$2:$A$426,$A30,Calendar!$E$2:$E$426,"Run")/60</f>
        <v>0.416666666666667</v>
      </c>
      <c r="J30" s="9" t="n">
        <f aca="false">SUMIFS(Calendar!$G$2:$G$426,Calendar!$A$2:$A$426,$A30,Calendar!$E$2:$E$426,"Strength")/60</f>
        <v>0.5</v>
      </c>
      <c r="K30" s="9" t="n">
        <f aca="false">SUMIFS(Calendar!$G$2:$G$426,Calendar!$A$2:$A$426,$A30,Calendar!$E$2:$E$426,"Race")/60</f>
        <v>0</v>
      </c>
      <c r="L30" s="9" t="n">
        <f aca="false">SUMIFS(Calendar!$H$2:$H$426,Calendar!$A$2:$A$426,$A30,Calendar!$E$2:$E$426,"Swim")</f>
        <v>5.8</v>
      </c>
      <c r="M30" s="9" t="n">
        <f aca="false">SUMIFS(Calendar!$H$2:$H$426,Calendar!$A$2:$A$426,$A30,Calendar!$E$2:$E$426,"Run")</f>
        <v>4</v>
      </c>
      <c r="N30" s="10" t="s">
        <v>71</v>
      </c>
      <c r="O30" s="10" t="s">
        <v>71</v>
      </c>
      <c r="P30" s="11" t="n">
        <f aca="false">IFERROR(SUMIFS(Calendar!$M$2:$M$426,Calendar!$A$2:$A$426,$A30)/((SUMIFS(Calendar!$G$2:$G$426,Calendar!$A$2:$A$426,$A30,Calendar!$E$2:$E$426,"Swim"))+(SUMIFS(Calendar!$G$2:$G$426,Calendar!$A$2:$A$426,$A30,Calendar!$E$2:$E$426,"Bike"))+(SUMIFS(Calendar!$G$2:$G$426,Calendar!$A$2:$A$426,$A30,Calendar!$E$2:$E$426,"Run"))),0)</f>
        <v>0</v>
      </c>
    </row>
    <row r="31" customFormat="false" ht="23.85" hidden="false" customHeight="false" outlineLevel="0" collapsed="false">
      <c r="A31" s="12" t="n">
        <v>30</v>
      </c>
      <c r="B31" s="13" t="n">
        <v>46510</v>
      </c>
      <c r="C31" s="12" t="s">
        <v>108</v>
      </c>
      <c r="D31" s="12" t="s">
        <v>72</v>
      </c>
      <c r="E31" s="12" t="s">
        <v>111</v>
      </c>
      <c r="F31" s="9" t="n">
        <f aca="false">SUMIFS(Calendar!$G$2:$G$426,Calendar!$A$2:$A$426,$A31)/60</f>
        <v>10.3333333333333</v>
      </c>
      <c r="G31" s="9" t="n">
        <f aca="false">SUMIFS(Calendar!$G$2:$G$426,Calendar!$A$2:$A$426,$A31,Calendar!$E$2:$E$426,"Swim")/60</f>
        <v>2.83333333333333</v>
      </c>
      <c r="H31" s="9" t="n">
        <f aca="false">SUMIFS(Calendar!$G$2:$G$426,Calendar!$A$2:$A$426,$A31,Calendar!$E$2:$E$426,"Bike")/60</f>
        <v>3.25</v>
      </c>
      <c r="I31" s="9" t="n">
        <f aca="false">SUMIFS(Calendar!$G$2:$G$426,Calendar!$A$2:$A$426,$A31,Calendar!$E$2:$E$426,"Run")/60</f>
        <v>3.25</v>
      </c>
      <c r="J31" s="9" t="n">
        <f aca="false">SUMIFS(Calendar!$G$2:$G$426,Calendar!$A$2:$A$426,$A31,Calendar!$E$2:$E$426,"Strength")/60</f>
        <v>1</v>
      </c>
      <c r="K31" s="9" t="n">
        <f aca="false">SUMIFS(Calendar!$G$2:$G$426,Calendar!$A$2:$A$426,$A31,Calendar!$E$2:$E$426,"Race")/60</f>
        <v>0</v>
      </c>
      <c r="L31" s="9" t="n">
        <f aca="false">SUMIFS(Calendar!$H$2:$H$426,Calendar!$A$2:$A$426,$A31,Calendar!$E$2:$E$426,"Swim")</f>
        <v>8.4</v>
      </c>
      <c r="M31" s="9" t="n">
        <f aca="false">SUMIFS(Calendar!$H$2:$H$426,Calendar!$A$2:$A$426,$A31,Calendar!$E$2:$E$426,"Run")</f>
        <v>32.4</v>
      </c>
      <c r="N31" s="10" t="s">
        <v>71</v>
      </c>
      <c r="O31" s="10" t="s">
        <v>71</v>
      </c>
      <c r="P31" s="11" t="n">
        <f aca="false">IFERROR(SUMIFS(Calendar!$M$2:$M$426,Calendar!$A$2:$A$426,$A31)/((SUMIFS(Calendar!$G$2:$G$426,Calendar!$A$2:$A$426,$A31,Calendar!$E$2:$E$426,"Swim"))+(SUMIFS(Calendar!$G$2:$G$426,Calendar!$A$2:$A$426,$A31,Calendar!$E$2:$E$426,"Bike"))+(SUMIFS(Calendar!$G$2:$G$426,Calendar!$A$2:$A$426,$A31,Calendar!$E$2:$E$426,"Run"))),0)</f>
        <v>0.05</v>
      </c>
    </row>
    <row r="32" customFormat="false" ht="15" hidden="false" customHeight="false" outlineLevel="0" collapsed="false">
      <c r="A32" s="7" t="n">
        <v>31</v>
      </c>
      <c r="B32" s="8" t="n">
        <v>46517</v>
      </c>
      <c r="C32" s="7" t="s">
        <v>112</v>
      </c>
      <c r="D32" s="7" t="s">
        <v>69</v>
      </c>
      <c r="E32" s="7" t="s">
        <v>113</v>
      </c>
      <c r="F32" s="9" t="n">
        <f aca="false">SUMIFS(Calendar!$G$2:$G$426,Calendar!$A$2:$A$426,$A32)/60</f>
        <v>16.25</v>
      </c>
      <c r="G32" s="9" t="n">
        <f aca="false">SUMIFS(Calendar!$G$2:$G$426,Calendar!$A$2:$A$426,$A32,Calendar!$E$2:$E$426,"Swim")/60</f>
        <v>3</v>
      </c>
      <c r="H32" s="9" t="n">
        <f aca="false">SUMIFS(Calendar!$G$2:$G$426,Calendar!$A$2:$A$426,$A32,Calendar!$E$2:$E$426,"Bike")/60</f>
        <v>7.75</v>
      </c>
      <c r="I32" s="9" t="n">
        <f aca="false">SUMIFS(Calendar!$G$2:$G$426,Calendar!$A$2:$A$426,$A32,Calendar!$E$2:$E$426,"Run")/60</f>
        <v>4.58333333333333</v>
      </c>
      <c r="J32" s="9" t="n">
        <f aca="false">SUMIFS(Calendar!$G$2:$G$426,Calendar!$A$2:$A$426,$A32,Calendar!$E$2:$E$426,"Strength")/60</f>
        <v>0.916666666666667</v>
      </c>
      <c r="K32" s="9" t="n">
        <f aca="false">SUMIFS(Calendar!$G$2:$G$426,Calendar!$A$2:$A$426,$A32,Calendar!$E$2:$E$426,"Race")/60</f>
        <v>0</v>
      </c>
      <c r="L32" s="9" t="n">
        <f aca="false">SUMIFS(Calendar!$H$2:$H$426,Calendar!$A$2:$A$426,$A32,Calendar!$E$2:$E$426,"Swim")</f>
        <v>8.7</v>
      </c>
      <c r="M32" s="9" t="n">
        <f aca="false">SUMIFS(Calendar!$H$2:$H$426,Calendar!$A$2:$A$426,$A32,Calendar!$E$2:$E$426,"Run")</f>
        <v>45.9</v>
      </c>
      <c r="N32" s="10" t="n">
        <f aca="false">F32/F27-1</f>
        <v>-0.0997229916897507</v>
      </c>
      <c r="O32" s="10" t="n">
        <f aca="false">M32/M27-1</f>
        <v>0.0455580865603644</v>
      </c>
      <c r="P32" s="11" t="n">
        <f aca="false">IFERROR(SUMIFS(Calendar!$M$2:$M$426,Calendar!$A$2:$A$426,$A32)/((SUMIFS(Calendar!$G$2:$G$426,Calendar!$A$2:$A$426,$A32,Calendar!$E$2:$E$426,"Swim"))+(SUMIFS(Calendar!$G$2:$G$426,Calendar!$A$2:$A$426,$A32,Calendar!$E$2:$E$426,"Bike"))+(SUMIFS(Calendar!$G$2:$G$426,Calendar!$A$2:$A$426,$A32,Calendar!$E$2:$E$426,"Run"))),0)</f>
        <v>0.0695652173913044</v>
      </c>
    </row>
    <row r="33" customFormat="false" ht="23.85" hidden="false" customHeight="false" outlineLevel="0" collapsed="false">
      <c r="A33" s="7" t="n">
        <v>32</v>
      </c>
      <c r="B33" s="8" t="n">
        <v>46524</v>
      </c>
      <c r="C33" s="7" t="s">
        <v>112</v>
      </c>
      <c r="D33" s="7" t="s">
        <v>69</v>
      </c>
      <c r="E33" s="7" t="s">
        <v>114</v>
      </c>
      <c r="F33" s="9" t="n">
        <f aca="false">SUMIFS(Calendar!$G$2:$G$426,Calendar!$A$2:$A$426,$A33)/60</f>
        <v>17.5833333333333</v>
      </c>
      <c r="G33" s="9" t="n">
        <f aca="false">SUMIFS(Calendar!$G$2:$G$426,Calendar!$A$2:$A$426,$A33,Calendar!$E$2:$E$426,"Swim")/60</f>
        <v>3.41666666666667</v>
      </c>
      <c r="H33" s="9" t="n">
        <f aca="false">SUMIFS(Calendar!$G$2:$G$426,Calendar!$A$2:$A$426,$A33,Calendar!$E$2:$E$426,"Bike")/60</f>
        <v>8.5</v>
      </c>
      <c r="I33" s="9" t="n">
        <f aca="false">SUMIFS(Calendar!$G$2:$G$426,Calendar!$A$2:$A$426,$A33,Calendar!$E$2:$E$426,"Run")/60</f>
        <v>4.83333333333333</v>
      </c>
      <c r="J33" s="9" t="n">
        <f aca="false">SUMIFS(Calendar!$G$2:$G$426,Calendar!$A$2:$A$426,$A33,Calendar!$E$2:$E$426,"Strength")/60</f>
        <v>0.833333333333333</v>
      </c>
      <c r="K33" s="9" t="n">
        <f aca="false">SUMIFS(Calendar!$G$2:$G$426,Calendar!$A$2:$A$426,$A33,Calendar!$E$2:$E$426,"Race")/60</f>
        <v>0</v>
      </c>
      <c r="L33" s="9" t="n">
        <f aca="false">SUMIFS(Calendar!$H$2:$H$426,Calendar!$A$2:$A$426,$A33,Calendar!$E$2:$E$426,"Swim")</f>
        <v>9.5</v>
      </c>
      <c r="M33" s="9" t="n">
        <f aca="false">SUMIFS(Calendar!$H$2:$H$426,Calendar!$A$2:$A$426,$A33,Calendar!$E$2:$E$426,"Run")</f>
        <v>48.4</v>
      </c>
      <c r="N33" s="10" t="n">
        <f aca="false">F33/F32-1</f>
        <v>0.082051282051282</v>
      </c>
      <c r="O33" s="10" t="n">
        <f aca="false">M33/M32-1</f>
        <v>0.0544662309368191</v>
      </c>
      <c r="P33" s="11" t="n">
        <f aca="false">IFERROR(SUMIFS(Calendar!$M$2:$M$426,Calendar!$A$2:$A$426,$A33)/((SUMIFS(Calendar!$G$2:$G$426,Calendar!$A$2:$A$426,$A33,Calendar!$E$2:$E$426,"Swim"))+(SUMIFS(Calendar!$G$2:$G$426,Calendar!$A$2:$A$426,$A33,Calendar!$E$2:$E$426,"Bike"))+(SUMIFS(Calendar!$G$2:$G$426,Calendar!$A$2:$A$426,$A33,Calendar!$E$2:$E$426,"Run"))),0)</f>
        <v>0.0985074626865672</v>
      </c>
    </row>
    <row r="34" customFormat="false" ht="15" hidden="false" customHeight="false" outlineLevel="0" collapsed="false">
      <c r="A34" s="12" t="n">
        <v>33</v>
      </c>
      <c r="B34" s="13" t="n">
        <v>46531</v>
      </c>
      <c r="C34" s="12" t="s">
        <v>112</v>
      </c>
      <c r="D34" s="12" t="s">
        <v>72</v>
      </c>
      <c r="E34" s="12" t="s">
        <v>115</v>
      </c>
      <c r="F34" s="9" t="n">
        <f aca="false">SUMIFS(Calendar!$G$2:$G$426,Calendar!$A$2:$A$426,$A34)/60</f>
        <v>14.5</v>
      </c>
      <c r="G34" s="9" t="n">
        <f aca="false">SUMIFS(Calendar!$G$2:$G$426,Calendar!$A$2:$A$426,$A34,Calendar!$E$2:$E$426,"Swim")/60</f>
        <v>2.83333333333333</v>
      </c>
      <c r="H34" s="9" t="n">
        <f aca="false">SUMIFS(Calendar!$G$2:$G$426,Calendar!$A$2:$A$426,$A34,Calendar!$E$2:$E$426,"Bike")/60</f>
        <v>7.08333333333333</v>
      </c>
      <c r="I34" s="9" t="n">
        <f aca="false">SUMIFS(Calendar!$G$2:$G$426,Calendar!$A$2:$A$426,$A34,Calendar!$E$2:$E$426,"Run")/60</f>
        <v>3.83333333333333</v>
      </c>
      <c r="J34" s="9" t="n">
        <f aca="false">SUMIFS(Calendar!$G$2:$G$426,Calendar!$A$2:$A$426,$A34,Calendar!$E$2:$E$426,"Strength")/60</f>
        <v>0.75</v>
      </c>
      <c r="K34" s="9" t="n">
        <f aca="false">SUMIFS(Calendar!$G$2:$G$426,Calendar!$A$2:$A$426,$A34,Calendar!$E$2:$E$426,"Race")/60</f>
        <v>0</v>
      </c>
      <c r="L34" s="9" t="n">
        <f aca="false">SUMIFS(Calendar!$H$2:$H$426,Calendar!$A$2:$A$426,$A34,Calendar!$E$2:$E$426,"Swim")</f>
        <v>8.1</v>
      </c>
      <c r="M34" s="9" t="n">
        <f aca="false">SUMIFS(Calendar!$H$2:$H$426,Calendar!$A$2:$A$426,$A34,Calendar!$E$2:$E$426,"Run")</f>
        <v>38.3</v>
      </c>
      <c r="N34" s="10" t="s">
        <v>71</v>
      </c>
      <c r="O34" s="10" t="s">
        <v>71</v>
      </c>
      <c r="P34" s="11" t="n">
        <f aca="false">IFERROR(SUMIFS(Calendar!$M$2:$M$426,Calendar!$A$2:$A$426,$A34)/((SUMIFS(Calendar!$G$2:$G$426,Calendar!$A$2:$A$426,$A34,Calendar!$E$2:$E$426,"Swim"))+(SUMIFS(Calendar!$G$2:$G$426,Calendar!$A$2:$A$426,$A34,Calendar!$E$2:$E$426,"Bike"))+(SUMIFS(Calendar!$G$2:$G$426,Calendar!$A$2:$A$426,$A34,Calendar!$E$2:$E$426,"Run"))),0)</f>
        <v>0.0715151515151515</v>
      </c>
    </row>
    <row r="35" customFormat="false" ht="15" hidden="false" customHeight="false" outlineLevel="0" collapsed="false">
      <c r="A35" s="18" t="n">
        <v>34</v>
      </c>
      <c r="B35" s="19" t="n">
        <v>46538</v>
      </c>
      <c r="C35" s="18" t="s">
        <v>116</v>
      </c>
      <c r="D35" s="18" t="s">
        <v>117</v>
      </c>
      <c r="E35" s="18" t="s">
        <v>118</v>
      </c>
      <c r="F35" s="9" t="n">
        <f aca="false">SUMIFS(Calendar!$G$2:$G$426,Calendar!$A$2:$A$426,$A35)/60</f>
        <v>9.91666666666667</v>
      </c>
      <c r="G35" s="9" t="n">
        <f aca="false">SUMIFS(Calendar!$G$2:$G$426,Calendar!$A$2:$A$426,$A35,Calendar!$E$2:$E$426,"Swim")/60</f>
        <v>2.25</v>
      </c>
      <c r="H35" s="9" t="n">
        <f aca="false">SUMIFS(Calendar!$G$2:$G$426,Calendar!$A$2:$A$426,$A35,Calendar!$E$2:$E$426,"Bike")/60</f>
        <v>5</v>
      </c>
      <c r="I35" s="9" t="n">
        <f aca="false">SUMIFS(Calendar!$G$2:$G$426,Calendar!$A$2:$A$426,$A35,Calendar!$E$2:$E$426,"Run")/60</f>
        <v>2.33333333333333</v>
      </c>
      <c r="J35" s="9" t="n">
        <f aca="false">SUMIFS(Calendar!$G$2:$G$426,Calendar!$A$2:$A$426,$A35,Calendar!$E$2:$E$426,"Strength")/60</f>
        <v>0.333333333333333</v>
      </c>
      <c r="K35" s="9" t="n">
        <f aca="false">SUMIFS(Calendar!$G$2:$G$426,Calendar!$A$2:$A$426,$A35,Calendar!$E$2:$E$426,"Race")/60</f>
        <v>0</v>
      </c>
      <c r="L35" s="9" t="n">
        <f aca="false">SUMIFS(Calendar!$H$2:$H$426,Calendar!$A$2:$A$426,$A35,Calendar!$E$2:$E$426,"Swim")</f>
        <v>6.4</v>
      </c>
      <c r="M35" s="9" t="n">
        <f aca="false">SUMIFS(Calendar!$H$2:$H$426,Calendar!$A$2:$A$426,$A35,Calendar!$E$2:$E$426,"Run")</f>
        <v>23.3</v>
      </c>
      <c r="N35" s="10" t="s">
        <v>71</v>
      </c>
      <c r="O35" s="10" t="s">
        <v>71</v>
      </c>
      <c r="P35" s="11" t="n">
        <f aca="false">IFERROR(SUMIFS(Calendar!$M$2:$M$426,Calendar!$A$2:$A$426,$A35)/((SUMIFS(Calendar!$G$2:$G$426,Calendar!$A$2:$A$426,$A35,Calendar!$E$2:$E$426,"Swim"))+(SUMIFS(Calendar!$G$2:$G$426,Calendar!$A$2:$A$426,$A35,Calendar!$E$2:$E$426,"Bike"))+(SUMIFS(Calendar!$G$2:$G$426,Calendar!$A$2:$A$426,$A35,Calendar!$E$2:$E$426,"Run"))),0)</f>
        <v>0.0765217391304348</v>
      </c>
    </row>
    <row r="36" customFormat="false" ht="23.85" hidden="false" customHeight="false" outlineLevel="0" collapsed="false">
      <c r="A36" s="16" t="n">
        <v>35</v>
      </c>
      <c r="B36" s="17" t="n">
        <v>46545</v>
      </c>
      <c r="C36" s="16" t="s">
        <v>116</v>
      </c>
      <c r="D36" s="16" t="s">
        <v>101</v>
      </c>
      <c r="E36" s="16" t="s">
        <v>119</v>
      </c>
      <c r="F36" s="9" t="n">
        <f aca="false">SUMIFS(Calendar!$G$2:$G$426,Calendar!$A$2:$A$426,$A36)/60</f>
        <v>16.9166666666667</v>
      </c>
      <c r="G36" s="9" t="n">
        <f aca="false">SUMIFS(Calendar!$G$2:$G$426,Calendar!$A$2:$A$426,$A36,Calendar!$E$2:$E$426,"Swim")/60</f>
        <v>1.58333333333333</v>
      </c>
      <c r="H36" s="9" t="n">
        <f aca="false">SUMIFS(Calendar!$G$2:$G$426,Calendar!$A$2:$A$426,$A36,Calendar!$E$2:$E$426,"Bike")/60</f>
        <v>2.08333333333333</v>
      </c>
      <c r="I36" s="9" t="n">
        <f aca="false">SUMIFS(Calendar!$G$2:$G$426,Calendar!$A$2:$A$426,$A36,Calendar!$E$2:$E$426,"Run")/60</f>
        <v>1</v>
      </c>
      <c r="J36" s="9" t="n">
        <f aca="false">SUMIFS(Calendar!$G$2:$G$426,Calendar!$A$2:$A$426,$A36,Calendar!$E$2:$E$426,"Strength")/60</f>
        <v>0</v>
      </c>
      <c r="K36" s="9" t="n">
        <f aca="false">SUMIFS(Calendar!$G$2:$G$426,Calendar!$A$2:$A$426,$A36,Calendar!$E$2:$E$426,"Race")/60</f>
        <v>12.25</v>
      </c>
      <c r="L36" s="9" t="n">
        <f aca="false">SUMIFS(Calendar!$H$2:$H$426,Calendar!$A$2:$A$426,$A36,Calendar!$E$2:$E$426,"Swim")</f>
        <v>4.3</v>
      </c>
      <c r="M36" s="9" t="n">
        <f aca="false">SUMIFS(Calendar!$H$2:$H$426,Calendar!$A$2:$A$426,$A36,Calendar!$E$2:$E$426,"Run")</f>
        <v>10</v>
      </c>
      <c r="N36" s="10" t="s">
        <v>71</v>
      </c>
      <c r="O36" s="10" t="s">
        <v>71</v>
      </c>
      <c r="P36" s="11" t="n">
        <f aca="false">IFERROR(SUMIFS(Calendar!$M$2:$M$426,Calendar!$A$2:$A$426,$A36)/((SUMIFS(Calendar!$G$2:$G$426,Calendar!$A$2:$A$426,$A36,Calendar!$E$2:$E$426,"Swim"))+(SUMIFS(Calendar!$G$2:$G$426,Calendar!$A$2:$A$426,$A36,Calendar!$E$2:$E$426,"Bike"))+(SUMIFS(Calendar!$G$2:$G$426,Calendar!$A$2:$A$426,$A36,Calendar!$E$2:$E$426,"Run"))),0)</f>
        <v>0.117857142857143</v>
      </c>
    </row>
    <row r="38" customFormat="false" ht="15" hidden="false" customHeight="false" outlineLevel="0" collapsed="false">
      <c r="A38" s="20" t="s">
        <v>120</v>
      </c>
    </row>
  </sheetData>
  <conditionalFormatting sqref="N2:O36">
    <cfRule type="expression" priority="2" aboveAverage="0" equalAverage="0" bottom="0" percent="0" rank="0" text="" dxfId="0">
      <formula>AND(ISNUMBER(N2),N2&gt;0.1)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5"/>
    <col collapsed="false" customWidth="true" hidden="false" outlineLevel="0" max="4" min="4" style="0" width="11"/>
    <col collapsed="false" customWidth="true" hidden="false" outlineLevel="0" max="5" min="5" style="0" width="9"/>
    <col collapsed="false" customWidth="true" hidden="false" outlineLevel="0" max="6" min="6" style="0" width="26"/>
    <col collapsed="false" customWidth="true" hidden="false" outlineLevel="0" max="8" min="7" style="0" width="9"/>
    <col collapsed="false" customWidth="true" hidden="false" outlineLevel="0" max="9" min="9" style="0" width="80"/>
    <col collapsed="false" customWidth="true" hidden="false" outlineLevel="0" max="10" min="10" style="0" width="38"/>
    <col collapsed="false" customWidth="true" hidden="false" outlineLevel="0" max="11" min="11" style="0" width="7"/>
    <col collapsed="false" customWidth="true" hidden="false" outlineLevel="0" max="12" min="12" style="0" width="30"/>
    <col collapsed="false" customWidth="true" hidden="false" outlineLevel="0" max="13" min="13" style="0" width="10"/>
    <col collapsed="false" customWidth="true" hidden="false" outlineLevel="0" max="14" min="14" style="0" width="7"/>
    <col collapsed="false" customWidth="true" hidden="false" outlineLevel="0" max="15" min="15" style="0" width="25"/>
    <col collapsed="false" customWidth="true" hidden="false" outlineLevel="0" max="16" min="16" style="0" width="14"/>
  </cols>
  <sheetData>
    <row r="1" customFormat="false" ht="46.25" hidden="false" customHeight="false" outlineLevel="0" collapsed="false">
      <c r="A1" s="6" t="s">
        <v>52</v>
      </c>
      <c r="B1" s="6" t="s">
        <v>121</v>
      </c>
      <c r="C1" s="6" t="s">
        <v>122</v>
      </c>
      <c r="D1" s="6" t="s">
        <v>54</v>
      </c>
      <c r="E1" s="6" t="s">
        <v>123</v>
      </c>
      <c r="F1" s="6" t="s">
        <v>124</v>
      </c>
      <c r="G1" s="6" t="s">
        <v>125</v>
      </c>
      <c r="H1" s="6" t="s">
        <v>126</v>
      </c>
      <c r="I1" s="6" t="s">
        <v>127</v>
      </c>
      <c r="J1" s="6" t="s">
        <v>128</v>
      </c>
      <c r="K1" s="6" t="s">
        <v>129</v>
      </c>
      <c r="L1" s="6" t="s">
        <v>130</v>
      </c>
      <c r="M1" s="6" t="s">
        <v>131</v>
      </c>
      <c r="N1" s="6" t="s">
        <v>132</v>
      </c>
      <c r="O1" s="6" t="s">
        <v>133</v>
      </c>
      <c r="P1" s="6" t="s">
        <v>134</v>
      </c>
    </row>
    <row r="2" customFormat="false" ht="23.85" hidden="false" customHeight="false" outlineLevel="0" collapsed="false">
      <c r="A2" s="7" t="n">
        <v>1</v>
      </c>
      <c r="B2" s="21" t="n">
        <v>46307</v>
      </c>
      <c r="C2" s="7" t="s">
        <v>135</v>
      </c>
      <c r="D2" s="7" t="s">
        <v>68</v>
      </c>
      <c r="E2" s="18" t="s">
        <v>42</v>
      </c>
      <c r="F2" s="18" t="s">
        <v>136</v>
      </c>
      <c r="G2" s="7" t="n">
        <v>50</v>
      </c>
      <c r="H2" s="22" t="n">
        <v>2.5</v>
      </c>
      <c r="I2" s="7" t="s">
        <v>137</v>
      </c>
      <c r="J2" s="7" t="s">
        <v>138</v>
      </c>
      <c r="K2" s="7" t="s">
        <v>139</v>
      </c>
      <c r="L2" s="7"/>
      <c r="M2" s="7" t="n">
        <v>0</v>
      </c>
      <c r="N2" s="7"/>
      <c r="O2" s="7"/>
      <c r="P2" s="7" t="s">
        <v>140</v>
      </c>
    </row>
    <row r="3" customFormat="false" ht="35.05" hidden="false" customHeight="false" outlineLevel="0" collapsed="false">
      <c r="A3" s="7" t="n">
        <v>1</v>
      </c>
      <c r="B3" s="21" t="n">
        <v>46308</v>
      </c>
      <c r="C3" s="7" t="s">
        <v>141</v>
      </c>
      <c r="D3" s="7" t="s">
        <v>68</v>
      </c>
      <c r="E3" s="14" t="s">
        <v>40</v>
      </c>
      <c r="F3" s="14" t="s">
        <v>142</v>
      </c>
      <c r="G3" s="7" t="n">
        <v>60</v>
      </c>
      <c r="H3" s="22" t="n">
        <v>30</v>
      </c>
      <c r="I3" s="7" t="s">
        <v>143</v>
      </c>
      <c r="J3" s="7" t="s">
        <v>144</v>
      </c>
      <c r="K3" s="7" t="s">
        <v>145</v>
      </c>
      <c r="L3" s="7" t="s">
        <v>146</v>
      </c>
      <c r="M3" s="7" t="n">
        <v>12</v>
      </c>
      <c r="N3" s="7"/>
      <c r="O3" s="7"/>
      <c r="P3" s="7" t="s">
        <v>147</v>
      </c>
    </row>
    <row r="4" customFormat="false" ht="46.25" hidden="false" customHeight="false" outlineLevel="0" collapsed="false">
      <c r="A4" s="7" t="n">
        <v>1</v>
      </c>
      <c r="B4" s="21" t="n">
        <v>46308</v>
      </c>
      <c r="C4" s="7" t="s">
        <v>141</v>
      </c>
      <c r="D4" s="7" t="s">
        <v>68</v>
      </c>
      <c r="E4" s="23" t="s">
        <v>148</v>
      </c>
      <c r="F4" s="23" t="s">
        <v>149</v>
      </c>
      <c r="G4" s="7" t="n">
        <v>40</v>
      </c>
      <c r="H4" s="22"/>
      <c r="I4" s="7" t="s">
        <v>150</v>
      </c>
      <c r="J4" s="7" t="s">
        <v>151</v>
      </c>
      <c r="K4" s="7" t="s">
        <v>152</v>
      </c>
      <c r="L4" s="7"/>
      <c r="M4" s="7" t="n">
        <v>0</v>
      </c>
      <c r="N4" s="7"/>
      <c r="O4" s="7"/>
      <c r="P4" s="7" t="s">
        <v>153</v>
      </c>
    </row>
    <row r="5" customFormat="false" ht="23.85" hidden="false" customHeight="false" outlineLevel="0" collapsed="false">
      <c r="A5" s="7" t="n">
        <v>1</v>
      </c>
      <c r="B5" s="21" t="n">
        <v>46309</v>
      </c>
      <c r="C5" s="7" t="s">
        <v>154</v>
      </c>
      <c r="D5" s="7" t="s">
        <v>68</v>
      </c>
      <c r="E5" s="18" t="s">
        <v>42</v>
      </c>
      <c r="F5" s="18" t="s">
        <v>155</v>
      </c>
      <c r="G5" s="7" t="n">
        <v>50</v>
      </c>
      <c r="H5" s="22" t="n">
        <v>2.4</v>
      </c>
      <c r="I5" s="7" t="s">
        <v>156</v>
      </c>
      <c r="J5" s="7" t="s">
        <v>157</v>
      </c>
      <c r="K5" s="7" t="s">
        <v>152</v>
      </c>
      <c r="L5" s="7"/>
      <c r="M5" s="7" t="n">
        <v>23</v>
      </c>
      <c r="N5" s="7"/>
      <c r="O5" s="7"/>
      <c r="P5" s="7" t="s">
        <v>140</v>
      </c>
    </row>
    <row r="6" customFormat="false" ht="23.85" hidden="false" customHeight="false" outlineLevel="0" collapsed="false">
      <c r="A6" s="7" t="n">
        <v>1</v>
      </c>
      <c r="B6" s="21" t="n">
        <v>46310</v>
      </c>
      <c r="C6" s="7" t="s">
        <v>158</v>
      </c>
      <c r="D6" s="7" t="s">
        <v>68</v>
      </c>
      <c r="E6" s="14" t="s">
        <v>40</v>
      </c>
      <c r="F6" s="14" t="s">
        <v>159</v>
      </c>
      <c r="G6" s="7" t="n">
        <v>60</v>
      </c>
      <c r="H6" s="22" t="n">
        <v>30</v>
      </c>
      <c r="I6" s="7" t="s">
        <v>160</v>
      </c>
      <c r="J6" s="7" t="s">
        <v>161</v>
      </c>
      <c r="K6" s="7" t="s">
        <v>139</v>
      </c>
      <c r="L6" s="7" t="s">
        <v>146</v>
      </c>
      <c r="M6" s="7" t="n">
        <v>0</v>
      </c>
      <c r="N6" s="7"/>
      <c r="O6" s="7"/>
      <c r="P6" s="7" t="s">
        <v>147</v>
      </c>
    </row>
    <row r="7" customFormat="false" ht="23.85" hidden="false" customHeight="false" outlineLevel="0" collapsed="false">
      <c r="A7" s="7" t="n">
        <v>1</v>
      </c>
      <c r="B7" s="21" t="n">
        <v>46310</v>
      </c>
      <c r="C7" s="7" t="s">
        <v>158</v>
      </c>
      <c r="D7" s="7" t="s">
        <v>68</v>
      </c>
      <c r="E7" s="23" t="s">
        <v>148</v>
      </c>
      <c r="F7" s="23" t="s">
        <v>162</v>
      </c>
      <c r="G7" s="7" t="n">
        <v>35</v>
      </c>
      <c r="H7" s="22"/>
      <c r="I7" s="7" t="s">
        <v>163</v>
      </c>
      <c r="J7" s="7" t="s">
        <v>151</v>
      </c>
      <c r="K7" s="7" t="s">
        <v>152</v>
      </c>
      <c r="L7" s="7"/>
      <c r="M7" s="7" t="n">
        <v>0</v>
      </c>
      <c r="N7" s="7"/>
      <c r="O7" s="7"/>
      <c r="P7" s="7" t="s">
        <v>153</v>
      </c>
    </row>
    <row r="8" customFormat="false" ht="23.85" hidden="false" customHeight="false" outlineLevel="0" collapsed="false">
      <c r="A8" s="7" t="n">
        <v>1</v>
      </c>
      <c r="B8" s="21" t="n">
        <v>46311</v>
      </c>
      <c r="C8" s="7" t="s">
        <v>164</v>
      </c>
      <c r="D8" s="7" t="s">
        <v>68</v>
      </c>
      <c r="E8" s="18" t="s">
        <v>42</v>
      </c>
      <c r="F8" s="18" t="s">
        <v>165</v>
      </c>
      <c r="G8" s="7" t="n">
        <v>45</v>
      </c>
      <c r="H8" s="22" t="n">
        <v>2.2</v>
      </c>
      <c r="I8" s="7" t="s">
        <v>166</v>
      </c>
      <c r="J8" s="7" t="s">
        <v>138</v>
      </c>
      <c r="K8" s="7" t="s">
        <v>139</v>
      </c>
      <c r="L8" s="7"/>
      <c r="M8" s="7" t="n">
        <v>0</v>
      </c>
      <c r="N8" s="7"/>
      <c r="O8" s="7"/>
      <c r="P8" s="7" t="s">
        <v>140</v>
      </c>
    </row>
    <row r="9" customFormat="false" ht="35.05" hidden="false" customHeight="false" outlineLevel="0" collapsed="false">
      <c r="A9" s="7" t="n">
        <v>1</v>
      </c>
      <c r="B9" s="21" t="n">
        <v>46312</v>
      </c>
      <c r="C9" s="7" t="s">
        <v>167</v>
      </c>
      <c r="D9" s="7" t="s">
        <v>68</v>
      </c>
      <c r="E9" s="14" t="s">
        <v>40</v>
      </c>
      <c r="F9" s="14" t="s">
        <v>168</v>
      </c>
      <c r="G9" s="7" t="n">
        <v>80</v>
      </c>
      <c r="H9" s="22" t="n">
        <v>40</v>
      </c>
      <c r="I9" s="7" t="s">
        <v>169</v>
      </c>
      <c r="J9" s="7" t="s">
        <v>170</v>
      </c>
      <c r="K9" s="7" t="s">
        <v>139</v>
      </c>
      <c r="L9" s="7" t="s">
        <v>171</v>
      </c>
      <c r="M9" s="7" t="n">
        <v>0</v>
      </c>
      <c r="N9" s="7"/>
      <c r="O9" s="7"/>
      <c r="P9" s="7" t="s">
        <v>147</v>
      </c>
    </row>
    <row r="10" customFormat="false" ht="23.85" hidden="false" customHeight="false" outlineLevel="0" collapsed="false">
      <c r="A10" s="7" t="n">
        <v>1</v>
      </c>
      <c r="B10" s="21" t="n">
        <v>46313</v>
      </c>
      <c r="C10" s="7" t="s">
        <v>172</v>
      </c>
      <c r="D10" s="7" t="s">
        <v>68</v>
      </c>
      <c r="E10" s="14" t="s">
        <v>40</v>
      </c>
      <c r="F10" s="14" t="s">
        <v>173</v>
      </c>
      <c r="G10" s="7" t="n">
        <v>40</v>
      </c>
      <c r="H10" s="22" t="n">
        <v>18</v>
      </c>
      <c r="I10" s="7" t="s">
        <v>174</v>
      </c>
      <c r="J10" s="7" t="s">
        <v>175</v>
      </c>
      <c r="K10" s="7" t="s">
        <v>176</v>
      </c>
      <c r="L10" s="7" t="s">
        <v>146</v>
      </c>
      <c r="M10" s="7" t="n">
        <v>0</v>
      </c>
      <c r="N10" s="7"/>
      <c r="O10" s="7"/>
      <c r="P10" s="7" t="s">
        <v>147</v>
      </c>
    </row>
    <row r="11" customFormat="false" ht="23.85" hidden="false" customHeight="false" outlineLevel="0" collapsed="false">
      <c r="A11" s="7" t="n">
        <v>2</v>
      </c>
      <c r="B11" s="21" t="n">
        <v>46314</v>
      </c>
      <c r="C11" s="7" t="s">
        <v>135</v>
      </c>
      <c r="D11" s="7" t="s">
        <v>68</v>
      </c>
      <c r="E11" s="18" t="s">
        <v>42</v>
      </c>
      <c r="F11" s="18" t="s">
        <v>136</v>
      </c>
      <c r="G11" s="7" t="n">
        <v>45</v>
      </c>
      <c r="H11" s="22" t="n">
        <v>2.2</v>
      </c>
      <c r="I11" s="7" t="s">
        <v>177</v>
      </c>
      <c r="J11" s="7" t="s">
        <v>138</v>
      </c>
      <c r="K11" s="7" t="s">
        <v>139</v>
      </c>
      <c r="L11" s="7"/>
      <c r="M11" s="7" t="n">
        <v>0</v>
      </c>
      <c r="N11" s="7"/>
      <c r="O11" s="7"/>
      <c r="P11" s="7" t="s">
        <v>140</v>
      </c>
    </row>
    <row r="12" customFormat="false" ht="35.05" hidden="false" customHeight="false" outlineLevel="0" collapsed="false">
      <c r="A12" s="7" t="n">
        <v>2</v>
      </c>
      <c r="B12" s="21" t="n">
        <v>46314</v>
      </c>
      <c r="C12" s="7" t="s">
        <v>135</v>
      </c>
      <c r="D12" s="7" t="s">
        <v>68</v>
      </c>
      <c r="E12" s="23" t="s">
        <v>148</v>
      </c>
      <c r="F12" s="23" t="s">
        <v>149</v>
      </c>
      <c r="G12" s="7" t="n">
        <v>30</v>
      </c>
      <c r="H12" s="22"/>
      <c r="I12" s="7" t="s">
        <v>178</v>
      </c>
      <c r="J12" s="7" t="s">
        <v>151</v>
      </c>
      <c r="K12" s="7" t="s">
        <v>152</v>
      </c>
      <c r="L12" s="7"/>
      <c r="M12" s="7" t="n">
        <v>0</v>
      </c>
      <c r="N12" s="7"/>
      <c r="O12" s="7"/>
      <c r="P12" s="7" t="s">
        <v>153</v>
      </c>
    </row>
    <row r="13" customFormat="false" ht="23.85" hidden="false" customHeight="false" outlineLevel="0" collapsed="false">
      <c r="A13" s="7" t="n">
        <v>2</v>
      </c>
      <c r="B13" s="21" t="n">
        <v>46315</v>
      </c>
      <c r="C13" s="7" t="s">
        <v>141</v>
      </c>
      <c r="D13" s="7" t="s">
        <v>68</v>
      </c>
      <c r="E13" s="14" t="s">
        <v>40</v>
      </c>
      <c r="F13" s="14" t="s">
        <v>159</v>
      </c>
      <c r="G13" s="7" t="n">
        <v>60</v>
      </c>
      <c r="H13" s="22" t="n">
        <v>30</v>
      </c>
      <c r="I13" s="7" t="s">
        <v>160</v>
      </c>
      <c r="J13" s="7" t="s">
        <v>161</v>
      </c>
      <c r="K13" s="7" t="s">
        <v>139</v>
      </c>
      <c r="L13" s="7" t="s">
        <v>146</v>
      </c>
      <c r="M13" s="7" t="n">
        <v>0</v>
      </c>
      <c r="N13" s="7"/>
      <c r="O13" s="7"/>
      <c r="P13" s="7" t="s">
        <v>147</v>
      </c>
    </row>
    <row r="14" customFormat="false" ht="23.85" hidden="false" customHeight="false" outlineLevel="0" collapsed="false">
      <c r="A14" s="7" t="n">
        <v>2</v>
      </c>
      <c r="B14" s="21" t="n">
        <v>46316</v>
      </c>
      <c r="C14" s="7" t="s">
        <v>154</v>
      </c>
      <c r="D14" s="7" t="s">
        <v>68</v>
      </c>
      <c r="E14" s="18" t="s">
        <v>42</v>
      </c>
      <c r="F14" s="18" t="s">
        <v>155</v>
      </c>
      <c r="G14" s="7" t="n">
        <v>45</v>
      </c>
      <c r="H14" s="22" t="n">
        <v>2.1</v>
      </c>
      <c r="I14" s="7" t="s">
        <v>179</v>
      </c>
      <c r="J14" s="7" t="s">
        <v>157</v>
      </c>
      <c r="K14" s="7" t="s">
        <v>152</v>
      </c>
      <c r="L14" s="7"/>
      <c r="M14" s="7" t="n">
        <v>19</v>
      </c>
      <c r="N14" s="7"/>
      <c r="O14" s="7"/>
      <c r="P14" s="7" t="s">
        <v>140</v>
      </c>
    </row>
    <row r="15" customFormat="false" ht="23.85" hidden="false" customHeight="false" outlineLevel="0" collapsed="false">
      <c r="A15" s="7" t="n">
        <v>2</v>
      </c>
      <c r="B15" s="21" t="n">
        <v>46317</v>
      </c>
      <c r="C15" s="7" t="s">
        <v>158</v>
      </c>
      <c r="D15" s="7" t="s">
        <v>68</v>
      </c>
      <c r="E15" s="14" t="s">
        <v>40</v>
      </c>
      <c r="F15" s="14" t="s">
        <v>173</v>
      </c>
      <c r="G15" s="7" t="n">
        <v>45</v>
      </c>
      <c r="H15" s="22" t="n">
        <v>20</v>
      </c>
      <c r="I15" s="7" t="s">
        <v>180</v>
      </c>
      <c r="J15" s="7" t="s">
        <v>175</v>
      </c>
      <c r="K15" s="7" t="s">
        <v>176</v>
      </c>
      <c r="L15" s="7" t="s">
        <v>146</v>
      </c>
      <c r="M15" s="7" t="n">
        <v>0</v>
      </c>
      <c r="N15" s="7"/>
      <c r="O15" s="7"/>
      <c r="P15" s="7" t="s">
        <v>147</v>
      </c>
    </row>
    <row r="16" customFormat="false" ht="15" hidden="false" customHeight="false" outlineLevel="0" collapsed="false">
      <c r="A16" s="7" t="n">
        <v>2</v>
      </c>
      <c r="B16" s="21" t="n">
        <v>46318</v>
      </c>
      <c r="C16" s="7" t="s">
        <v>164</v>
      </c>
      <c r="D16" s="7" t="s">
        <v>68</v>
      </c>
      <c r="E16" s="12" t="s">
        <v>181</v>
      </c>
      <c r="F16" s="12" t="s">
        <v>181</v>
      </c>
      <c r="G16" s="7" t="n">
        <v>0</v>
      </c>
      <c r="H16" s="22"/>
      <c r="I16" s="7" t="s">
        <v>182</v>
      </c>
      <c r="J16" s="7" t="s">
        <v>71</v>
      </c>
      <c r="K16" s="7" t="s">
        <v>71</v>
      </c>
      <c r="L16" s="7"/>
      <c r="M16" s="7" t="n">
        <v>0</v>
      </c>
      <c r="N16" s="7"/>
      <c r="O16" s="7"/>
      <c r="P16" s="7"/>
    </row>
    <row r="17" customFormat="false" ht="23.85" hidden="false" customHeight="false" outlineLevel="0" collapsed="false">
      <c r="A17" s="7" t="n">
        <v>2</v>
      </c>
      <c r="B17" s="21" t="n">
        <v>46319</v>
      </c>
      <c r="C17" s="7" t="s">
        <v>167</v>
      </c>
      <c r="D17" s="7" t="s">
        <v>68</v>
      </c>
      <c r="E17" s="12" t="s">
        <v>181</v>
      </c>
      <c r="F17" s="12" t="s">
        <v>181</v>
      </c>
      <c r="G17" s="7" t="n">
        <v>0</v>
      </c>
      <c r="H17" s="22"/>
      <c r="I17" s="7" t="s">
        <v>183</v>
      </c>
      <c r="J17" s="7" t="s">
        <v>71</v>
      </c>
      <c r="K17" s="7" t="s">
        <v>71</v>
      </c>
      <c r="L17" s="7"/>
      <c r="M17" s="7" t="n">
        <v>0</v>
      </c>
      <c r="N17" s="7"/>
      <c r="O17" s="7"/>
      <c r="P17" s="7"/>
    </row>
    <row r="18" customFormat="false" ht="23.85" hidden="false" customHeight="false" outlineLevel="0" collapsed="false">
      <c r="A18" s="7" t="n">
        <v>2</v>
      </c>
      <c r="B18" s="21" t="n">
        <v>46320</v>
      </c>
      <c r="C18" s="7" t="s">
        <v>172</v>
      </c>
      <c r="D18" s="7" t="s">
        <v>68</v>
      </c>
      <c r="E18" s="14" t="s">
        <v>40</v>
      </c>
      <c r="F18" s="14" t="s">
        <v>159</v>
      </c>
      <c r="G18" s="7" t="n">
        <v>60</v>
      </c>
      <c r="H18" s="22" t="n">
        <v>30</v>
      </c>
      <c r="I18" s="7" t="s">
        <v>160</v>
      </c>
      <c r="J18" s="7" t="s">
        <v>161</v>
      </c>
      <c r="K18" s="7" t="s">
        <v>139</v>
      </c>
      <c r="L18" s="7" t="s">
        <v>146</v>
      </c>
      <c r="M18" s="7" t="n">
        <v>0</v>
      </c>
      <c r="N18" s="7"/>
      <c r="O18" s="7"/>
      <c r="P18" s="7" t="s">
        <v>147</v>
      </c>
    </row>
    <row r="19" customFormat="false" ht="23.85" hidden="false" customHeight="false" outlineLevel="0" collapsed="false">
      <c r="A19" s="7" t="n">
        <v>3</v>
      </c>
      <c r="B19" s="21" t="n">
        <v>46321</v>
      </c>
      <c r="C19" s="7" t="s">
        <v>135</v>
      </c>
      <c r="D19" s="7" t="s">
        <v>74</v>
      </c>
      <c r="E19" s="18" t="s">
        <v>42</v>
      </c>
      <c r="F19" s="18" t="s">
        <v>136</v>
      </c>
      <c r="G19" s="7" t="n">
        <v>45</v>
      </c>
      <c r="H19" s="22" t="n">
        <v>2.2</v>
      </c>
      <c r="I19" s="7" t="s">
        <v>177</v>
      </c>
      <c r="J19" s="7" t="s">
        <v>138</v>
      </c>
      <c r="K19" s="7" t="s">
        <v>139</v>
      </c>
      <c r="L19" s="7"/>
      <c r="M19" s="7" t="n">
        <v>0</v>
      </c>
      <c r="N19" s="7"/>
      <c r="O19" s="7"/>
      <c r="P19" s="7" t="s">
        <v>140</v>
      </c>
    </row>
    <row r="20" customFormat="false" ht="35.05" hidden="false" customHeight="false" outlineLevel="0" collapsed="false">
      <c r="A20" s="7" t="n">
        <v>3</v>
      </c>
      <c r="B20" s="21" t="n">
        <v>46321</v>
      </c>
      <c r="C20" s="7" t="s">
        <v>135</v>
      </c>
      <c r="D20" s="7" t="s">
        <v>74</v>
      </c>
      <c r="E20" s="24" t="s">
        <v>184</v>
      </c>
      <c r="F20" s="24" t="s">
        <v>185</v>
      </c>
      <c r="G20" s="7" t="n">
        <v>20</v>
      </c>
      <c r="H20" s="22" t="n">
        <v>1</v>
      </c>
      <c r="I20" s="7" t="s">
        <v>186</v>
      </c>
      <c r="J20" s="7" t="s">
        <v>187</v>
      </c>
      <c r="K20" s="7" t="s">
        <v>188</v>
      </c>
      <c r="L20" s="7" t="s">
        <v>146</v>
      </c>
      <c r="M20" s="7" t="n">
        <v>0</v>
      </c>
      <c r="N20" s="7"/>
      <c r="O20" s="7"/>
      <c r="P20" s="7" t="s">
        <v>147</v>
      </c>
    </row>
    <row r="21" customFormat="false" ht="35.05" hidden="false" customHeight="false" outlineLevel="0" collapsed="false">
      <c r="A21" s="7" t="n">
        <v>3</v>
      </c>
      <c r="B21" s="21" t="n">
        <v>46322</v>
      </c>
      <c r="C21" s="7" t="s">
        <v>141</v>
      </c>
      <c r="D21" s="7" t="s">
        <v>74</v>
      </c>
      <c r="E21" s="14" t="s">
        <v>40</v>
      </c>
      <c r="F21" s="14" t="s">
        <v>142</v>
      </c>
      <c r="G21" s="7" t="n">
        <v>60</v>
      </c>
      <c r="H21" s="22" t="n">
        <v>30</v>
      </c>
      <c r="I21" s="7" t="s">
        <v>189</v>
      </c>
      <c r="J21" s="7" t="s">
        <v>190</v>
      </c>
      <c r="K21" s="7" t="s">
        <v>145</v>
      </c>
      <c r="L21" s="7" t="s">
        <v>146</v>
      </c>
      <c r="M21" s="7" t="n">
        <v>15</v>
      </c>
      <c r="N21" s="7"/>
      <c r="O21" s="7"/>
      <c r="P21" s="7" t="s">
        <v>147</v>
      </c>
    </row>
    <row r="22" customFormat="false" ht="46.25" hidden="false" customHeight="false" outlineLevel="0" collapsed="false">
      <c r="A22" s="7" t="n">
        <v>3</v>
      </c>
      <c r="B22" s="21" t="n">
        <v>46322</v>
      </c>
      <c r="C22" s="7" t="s">
        <v>141</v>
      </c>
      <c r="D22" s="7" t="s">
        <v>74</v>
      </c>
      <c r="E22" s="23" t="s">
        <v>148</v>
      </c>
      <c r="F22" s="23" t="s">
        <v>149</v>
      </c>
      <c r="G22" s="7" t="n">
        <v>40</v>
      </c>
      <c r="H22" s="22"/>
      <c r="I22" s="7" t="s">
        <v>150</v>
      </c>
      <c r="J22" s="7" t="s">
        <v>151</v>
      </c>
      <c r="K22" s="7" t="s">
        <v>152</v>
      </c>
      <c r="L22" s="7"/>
      <c r="M22" s="7" t="n">
        <v>0</v>
      </c>
      <c r="N22" s="7"/>
      <c r="O22" s="7"/>
      <c r="P22" s="7" t="s">
        <v>153</v>
      </c>
    </row>
    <row r="23" customFormat="false" ht="23.85" hidden="false" customHeight="false" outlineLevel="0" collapsed="false">
      <c r="A23" s="7" t="n">
        <v>3</v>
      </c>
      <c r="B23" s="21" t="n">
        <v>46323</v>
      </c>
      <c r="C23" s="7" t="s">
        <v>154</v>
      </c>
      <c r="D23" s="7" t="s">
        <v>74</v>
      </c>
      <c r="E23" s="18" t="s">
        <v>42</v>
      </c>
      <c r="F23" s="18" t="s">
        <v>155</v>
      </c>
      <c r="G23" s="7" t="n">
        <v>50</v>
      </c>
      <c r="H23" s="22" t="n">
        <v>2.4</v>
      </c>
      <c r="I23" s="7" t="s">
        <v>156</v>
      </c>
      <c r="J23" s="7" t="s">
        <v>157</v>
      </c>
      <c r="K23" s="7" t="s">
        <v>152</v>
      </c>
      <c r="L23" s="7"/>
      <c r="M23" s="7" t="n">
        <v>23</v>
      </c>
      <c r="N23" s="7"/>
      <c r="O23" s="7"/>
      <c r="P23" s="7" t="s">
        <v>140</v>
      </c>
    </row>
    <row r="24" customFormat="false" ht="35.05" hidden="false" customHeight="false" outlineLevel="0" collapsed="false">
      <c r="A24" s="7" t="n">
        <v>3</v>
      </c>
      <c r="B24" s="21" t="n">
        <v>46323</v>
      </c>
      <c r="C24" s="7" t="s">
        <v>154</v>
      </c>
      <c r="D24" s="7" t="s">
        <v>74</v>
      </c>
      <c r="E24" s="24" t="s">
        <v>184</v>
      </c>
      <c r="F24" s="24" t="s">
        <v>185</v>
      </c>
      <c r="G24" s="7" t="n">
        <v>20</v>
      </c>
      <c r="H24" s="22" t="n">
        <v>1</v>
      </c>
      <c r="I24" s="7" t="s">
        <v>186</v>
      </c>
      <c r="J24" s="7" t="s">
        <v>187</v>
      </c>
      <c r="K24" s="7" t="s">
        <v>188</v>
      </c>
      <c r="L24" s="7" t="s">
        <v>146</v>
      </c>
      <c r="M24" s="7" t="n">
        <v>0</v>
      </c>
      <c r="N24" s="7"/>
      <c r="O24" s="7"/>
      <c r="P24" s="7" t="s">
        <v>147</v>
      </c>
    </row>
    <row r="25" customFormat="false" ht="23.85" hidden="false" customHeight="false" outlineLevel="0" collapsed="false">
      <c r="A25" s="7" t="n">
        <v>3</v>
      </c>
      <c r="B25" s="21" t="n">
        <v>46324</v>
      </c>
      <c r="C25" s="7" t="s">
        <v>158</v>
      </c>
      <c r="D25" s="7" t="s">
        <v>74</v>
      </c>
      <c r="E25" s="14" t="s">
        <v>40</v>
      </c>
      <c r="F25" s="14" t="s">
        <v>159</v>
      </c>
      <c r="G25" s="7" t="n">
        <v>45</v>
      </c>
      <c r="H25" s="22" t="n">
        <v>22</v>
      </c>
      <c r="I25" s="7" t="s">
        <v>191</v>
      </c>
      <c r="J25" s="7" t="s">
        <v>161</v>
      </c>
      <c r="K25" s="7" t="s">
        <v>139</v>
      </c>
      <c r="L25" s="7" t="s">
        <v>146</v>
      </c>
      <c r="M25" s="7" t="n">
        <v>0</v>
      </c>
      <c r="N25" s="7"/>
      <c r="O25" s="7"/>
      <c r="P25" s="7" t="s">
        <v>147</v>
      </c>
    </row>
    <row r="26" customFormat="false" ht="23.85" hidden="false" customHeight="false" outlineLevel="0" collapsed="false">
      <c r="A26" s="7" t="n">
        <v>3</v>
      </c>
      <c r="B26" s="21" t="n">
        <v>46324</v>
      </c>
      <c r="C26" s="7" t="s">
        <v>158</v>
      </c>
      <c r="D26" s="7" t="s">
        <v>74</v>
      </c>
      <c r="E26" s="23" t="s">
        <v>148</v>
      </c>
      <c r="F26" s="23" t="s">
        <v>162</v>
      </c>
      <c r="G26" s="7" t="n">
        <v>35</v>
      </c>
      <c r="H26" s="22"/>
      <c r="I26" s="7" t="s">
        <v>163</v>
      </c>
      <c r="J26" s="7" t="s">
        <v>151</v>
      </c>
      <c r="K26" s="7" t="s">
        <v>152</v>
      </c>
      <c r="L26" s="7"/>
      <c r="M26" s="7" t="n">
        <v>0</v>
      </c>
      <c r="N26" s="7"/>
      <c r="O26" s="7"/>
      <c r="P26" s="7" t="s">
        <v>153</v>
      </c>
    </row>
    <row r="27" customFormat="false" ht="23.85" hidden="false" customHeight="false" outlineLevel="0" collapsed="false">
      <c r="A27" s="7" t="n">
        <v>3</v>
      </c>
      <c r="B27" s="21" t="n">
        <v>46325</v>
      </c>
      <c r="C27" s="7" t="s">
        <v>164</v>
      </c>
      <c r="D27" s="7" t="s">
        <v>74</v>
      </c>
      <c r="E27" s="18" t="s">
        <v>42</v>
      </c>
      <c r="F27" s="18" t="s">
        <v>165</v>
      </c>
      <c r="G27" s="7" t="n">
        <v>45</v>
      </c>
      <c r="H27" s="22" t="n">
        <v>2.2</v>
      </c>
      <c r="I27" s="7" t="s">
        <v>166</v>
      </c>
      <c r="J27" s="7" t="s">
        <v>138</v>
      </c>
      <c r="K27" s="7" t="s">
        <v>139</v>
      </c>
      <c r="L27" s="7"/>
      <c r="M27" s="7" t="n">
        <v>0</v>
      </c>
      <c r="N27" s="7"/>
      <c r="O27" s="7"/>
      <c r="P27" s="7" t="s">
        <v>140</v>
      </c>
    </row>
    <row r="28" customFormat="false" ht="35.05" hidden="false" customHeight="false" outlineLevel="0" collapsed="false">
      <c r="A28" s="7" t="n">
        <v>3</v>
      </c>
      <c r="B28" s="21" t="n">
        <v>46325</v>
      </c>
      <c r="C28" s="7" t="s">
        <v>164</v>
      </c>
      <c r="D28" s="7" t="s">
        <v>74</v>
      </c>
      <c r="E28" s="24" t="s">
        <v>184</v>
      </c>
      <c r="F28" s="24" t="s">
        <v>185</v>
      </c>
      <c r="G28" s="7" t="n">
        <v>20</v>
      </c>
      <c r="H28" s="22" t="n">
        <v>1</v>
      </c>
      <c r="I28" s="7" t="s">
        <v>186</v>
      </c>
      <c r="J28" s="7" t="s">
        <v>187</v>
      </c>
      <c r="K28" s="7" t="s">
        <v>188</v>
      </c>
      <c r="L28" s="7" t="s">
        <v>146</v>
      </c>
      <c r="M28" s="7" t="n">
        <v>0</v>
      </c>
      <c r="N28" s="7"/>
      <c r="O28" s="7"/>
      <c r="P28" s="7" t="s">
        <v>147</v>
      </c>
    </row>
    <row r="29" customFormat="false" ht="35.05" hidden="false" customHeight="false" outlineLevel="0" collapsed="false">
      <c r="A29" s="7" t="n">
        <v>3</v>
      </c>
      <c r="B29" s="21" t="n">
        <v>46326</v>
      </c>
      <c r="C29" s="7" t="s">
        <v>167</v>
      </c>
      <c r="D29" s="7" t="s">
        <v>74</v>
      </c>
      <c r="E29" s="14" t="s">
        <v>40</v>
      </c>
      <c r="F29" s="14" t="s">
        <v>168</v>
      </c>
      <c r="G29" s="7" t="n">
        <v>90</v>
      </c>
      <c r="H29" s="22" t="n">
        <v>45</v>
      </c>
      <c r="I29" s="7" t="s">
        <v>192</v>
      </c>
      <c r="J29" s="7" t="s">
        <v>170</v>
      </c>
      <c r="K29" s="7" t="s">
        <v>139</v>
      </c>
      <c r="L29" s="7" t="s">
        <v>171</v>
      </c>
      <c r="M29" s="7" t="n">
        <v>0</v>
      </c>
      <c r="N29" s="7"/>
      <c r="O29" s="7"/>
      <c r="P29" s="7" t="s">
        <v>147</v>
      </c>
    </row>
    <row r="30" customFormat="false" ht="23.85" hidden="false" customHeight="false" outlineLevel="0" collapsed="false">
      <c r="A30" s="7" t="n">
        <v>3</v>
      </c>
      <c r="B30" s="21" t="n">
        <v>46327</v>
      </c>
      <c r="C30" s="7" t="s">
        <v>172</v>
      </c>
      <c r="D30" s="7" t="s">
        <v>74</v>
      </c>
      <c r="E30" s="12" t="s">
        <v>181</v>
      </c>
      <c r="F30" s="12" t="s">
        <v>181</v>
      </c>
      <c r="G30" s="7" t="n">
        <v>0</v>
      </c>
      <c r="H30" s="22"/>
      <c r="I30" s="7" t="s">
        <v>193</v>
      </c>
      <c r="J30" s="7" t="s">
        <v>71</v>
      </c>
      <c r="K30" s="7" t="s">
        <v>71</v>
      </c>
      <c r="L30" s="7"/>
      <c r="M30" s="7" t="n">
        <v>0</v>
      </c>
      <c r="N30" s="7"/>
      <c r="O30" s="7"/>
      <c r="P30" s="7"/>
    </row>
    <row r="31" customFormat="false" ht="23.85" hidden="false" customHeight="false" outlineLevel="0" collapsed="false">
      <c r="A31" s="7" t="n">
        <v>4</v>
      </c>
      <c r="B31" s="21" t="n">
        <v>46328</v>
      </c>
      <c r="C31" s="7" t="s">
        <v>135</v>
      </c>
      <c r="D31" s="7" t="s">
        <v>74</v>
      </c>
      <c r="E31" s="18" t="s">
        <v>42</v>
      </c>
      <c r="F31" s="18" t="s">
        <v>136</v>
      </c>
      <c r="G31" s="7" t="n">
        <v>50</v>
      </c>
      <c r="H31" s="22" t="n">
        <v>2.5</v>
      </c>
      <c r="I31" s="7" t="s">
        <v>137</v>
      </c>
      <c r="J31" s="7" t="s">
        <v>138</v>
      </c>
      <c r="K31" s="7" t="s">
        <v>139</v>
      </c>
      <c r="L31" s="7"/>
      <c r="M31" s="7" t="n">
        <v>0</v>
      </c>
      <c r="N31" s="7"/>
      <c r="O31" s="7"/>
      <c r="P31" s="7" t="s">
        <v>140</v>
      </c>
    </row>
    <row r="32" customFormat="false" ht="35.05" hidden="false" customHeight="false" outlineLevel="0" collapsed="false">
      <c r="A32" s="7" t="n">
        <v>4</v>
      </c>
      <c r="B32" s="21" t="n">
        <v>46328</v>
      </c>
      <c r="C32" s="7" t="s">
        <v>135</v>
      </c>
      <c r="D32" s="7" t="s">
        <v>74</v>
      </c>
      <c r="E32" s="24" t="s">
        <v>184</v>
      </c>
      <c r="F32" s="24" t="s">
        <v>194</v>
      </c>
      <c r="G32" s="7" t="n">
        <v>25</v>
      </c>
      <c r="H32" s="22" t="n">
        <v>2</v>
      </c>
      <c r="I32" s="7" t="s">
        <v>195</v>
      </c>
      <c r="J32" s="7" t="s">
        <v>187</v>
      </c>
      <c r="K32" s="7" t="s">
        <v>188</v>
      </c>
      <c r="L32" s="7" t="s">
        <v>146</v>
      </c>
      <c r="M32" s="7" t="n">
        <v>0</v>
      </c>
      <c r="N32" s="7"/>
      <c r="O32" s="7"/>
      <c r="P32" s="7" t="s">
        <v>147</v>
      </c>
    </row>
    <row r="33" customFormat="false" ht="35.05" hidden="false" customHeight="false" outlineLevel="0" collapsed="false">
      <c r="A33" s="7" t="n">
        <v>4</v>
      </c>
      <c r="B33" s="21" t="n">
        <v>46329</v>
      </c>
      <c r="C33" s="7" t="s">
        <v>141</v>
      </c>
      <c r="D33" s="7" t="s">
        <v>74</v>
      </c>
      <c r="E33" s="14" t="s">
        <v>40</v>
      </c>
      <c r="F33" s="14" t="s">
        <v>142</v>
      </c>
      <c r="G33" s="7" t="n">
        <v>60</v>
      </c>
      <c r="H33" s="22" t="n">
        <v>30</v>
      </c>
      <c r="I33" s="7" t="s">
        <v>196</v>
      </c>
      <c r="J33" s="7" t="s">
        <v>190</v>
      </c>
      <c r="K33" s="7" t="s">
        <v>145</v>
      </c>
      <c r="L33" s="7" t="s">
        <v>146</v>
      </c>
      <c r="M33" s="7" t="n">
        <v>18</v>
      </c>
      <c r="N33" s="7"/>
      <c r="O33" s="7"/>
      <c r="P33" s="7" t="s">
        <v>147</v>
      </c>
    </row>
    <row r="34" customFormat="false" ht="46.25" hidden="false" customHeight="false" outlineLevel="0" collapsed="false">
      <c r="A34" s="7" t="n">
        <v>4</v>
      </c>
      <c r="B34" s="21" t="n">
        <v>46329</v>
      </c>
      <c r="C34" s="7" t="s">
        <v>141</v>
      </c>
      <c r="D34" s="7" t="s">
        <v>74</v>
      </c>
      <c r="E34" s="23" t="s">
        <v>148</v>
      </c>
      <c r="F34" s="23" t="s">
        <v>149</v>
      </c>
      <c r="G34" s="7" t="n">
        <v>40</v>
      </c>
      <c r="H34" s="22"/>
      <c r="I34" s="7" t="s">
        <v>150</v>
      </c>
      <c r="J34" s="7" t="s">
        <v>151</v>
      </c>
      <c r="K34" s="7" t="s">
        <v>152</v>
      </c>
      <c r="L34" s="7"/>
      <c r="M34" s="7" t="n">
        <v>0</v>
      </c>
      <c r="N34" s="7"/>
      <c r="O34" s="7"/>
      <c r="P34" s="7" t="s">
        <v>153</v>
      </c>
    </row>
    <row r="35" customFormat="false" ht="23.85" hidden="false" customHeight="false" outlineLevel="0" collapsed="false">
      <c r="A35" s="7" t="n">
        <v>4</v>
      </c>
      <c r="B35" s="21" t="n">
        <v>46330</v>
      </c>
      <c r="C35" s="7" t="s">
        <v>154</v>
      </c>
      <c r="D35" s="7" t="s">
        <v>74</v>
      </c>
      <c r="E35" s="18" t="s">
        <v>42</v>
      </c>
      <c r="F35" s="18" t="s">
        <v>155</v>
      </c>
      <c r="G35" s="7" t="n">
        <v>50</v>
      </c>
      <c r="H35" s="22" t="n">
        <v>2.4</v>
      </c>
      <c r="I35" s="7" t="s">
        <v>156</v>
      </c>
      <c r="J35" s="7" t="s">
        <v>157</v>
      </c>
      <c r="K35" s="7" t="s">
        <v>152</v>
      </c>
      <c r="L35" s="7"/>
      <c r="M35" s="7" t="n">
        <v>23</v>
      </c>
      <c r="N35" s="7"/>
      <c r="O35" s="7"/>
      <c r="P35" s="7" t="s">
        <v>140</v>
      </c>
    </row>
    <row r="36" customFormat="false" ht="35.05" hidden="false" customHeight="false" outlineLevel="0" collapsed="false">
      <c r="A36" s="7" t="n">
        <v>4</v>
      </c>
      <c r="B36" s="21" t="n">
        <v>46330</v>
      </c>
      <c r="C36" s="7" t="s">
        <v>154</v>
      </c>
      <c r="D36" s="7" t="s">
        <v>74</v>
      </c>
      <c r="E36" s="24" t="s">
        <v>184</v>
      </c>
      <c r="F36" s="24" t="s">
        <v>194</v>
      </c>
      <c r="G36" s="7" t="n">
        <v>25</v>
      </c>
      <c r="H36" s="22" t="n">
        <v>2</v>
      </c>
      <c r="I36" s="7" t="s">
        <v>195</v>
      </c>
      <c r="J36" s="7" t="s">
        <v>187</v>
      </c>
      <c r="K36" s="7" t="s">
        <v>188</v>
      </c>
      <c r="L36" s="7" t="s">
        <v>146</v>
      </c>
      <c r="M36" s="7" t="n">
        <v>0</v>
      </c>
      <c r="N36" s="7"/>
      <c r="O36" s="7"/>
      <c r="P36" s="7" t="s">
        <v>147</v>
      </c>
    </row>
    <row r="37" customFormat="false" ht="23.85" hidden="false" customHeight="false" outlineLevel="0" collapsed="false">
      <c r="A37" s="7" t="n">
        <v>4</v>
      </c>
      <c r="B37" s="21" t="n">
        <v>46331</v>
      </c>
      <c r="C37" s="7" t="s">
        <v>158</v>
      </c>
      <c r="D37" s="7" t="s">
        <v>74</v>
      </c>
      <c r="E37" s="14" t="s">
        <v>40</v>
      </c>
      <c r="F37" s="14" t="s">
        <v>159</v>
      </c>
      <c r="G37" s="7" t="n">
        <v>50</v>
      </c>
      <c r="H37" s="22" t="n">
        <v>25</v>
      </c>
      <c r="I37" s="7" t="s">
        <v>197</v>
      </c>
      <c r="J37" s="7" t="s">
        <v>161</v>
      </c>
      <c r="K37" s="7" t="s">
        <v>139</v>
      </c>
      <c r="L37" s="7" t="s">
        <v>146</v>
      </c>
      <c r="M37" s="7" t="n">
        <v>0</v>
      </c>
      <c r="N37" s="7"/>
      <c r="O37" s="7"/>
      <c r="P37" s="7" t="s">
        <v>147</v>
      </c>
    </row>
    <row r="38" customFormat="false" ht="23.85" hidden="false" customHeight="false" outlineLevel="0" collapsed="false">
      <c r="A38" s="7" t="n">
        <v>4</v>
      </c>
      <c r="B38" s="21" t="n">
        <v>46331</v>
      </c>
      <c r="C38" s="7" t="s">
        <v>158</v>
      </c>
      <c r="D38" s="7" t="s">
        <v>74</v>
      </c>
      <c r="E38" s="23" t="s">
        <v>148</v>
      </c>
      <c r="F38" s="23" t="s">
        <v>162</v>
      </c>
      <c r="G38" s="7" t="n">
        <v>35</v>
      </c>
      <c r="H38" s="22"/>
      <c r="I38" s="7" t="s">
        <v>163</v>
      </c>
      <c r="J38" s="7" t="s">
        <v>151</v>
      </c>
      <c r="K38" s="7" t="s">
        <v>152</v>
      </c>
      <c r="L38" s="7"/>
      <c r="M38" s="7" t="n">
        <v>0</v>
      </c>
      <c r="N38" s="7"/>
      <c r="O38" s="7"/>
      <c r="P38" s="7" t="s">
        <v>153</v>
      </c>
    </row>
    <row r="39" customFormat="false" ht="23.85" hidden="false" customHeight="false" outlineLevel="0" collapsed="false">
      <c r="A39" s="7" t="n">
        <v>4</v>
      </c>
      <c r="B39" s="21" t="n">
        <v>46332</v>
      </c>
      <c r="C39" s="7" t="s">
        <v>164</v>
      </c>
      <c r="D39" s="7" t="s">
        <v>74</v>
      </c>
      <c r="E39" s="18" t="s">
        <v>42</v>
      </c>
      <c r="F39" s="18" t="s">
        <v>165</v>
      </c>
      <c r="G39" s="7" t="n">
        <v>50</v>
      </c>
      <c r="H39" s="22" t="n">
        <v>2.5</v>
      </c>
      <c r="I39" s="7" t="s">
        <v>198</v>
      </c>
      <c r="J39" s="7" t="s">
        <v>138</v>
      </c>
      <c r="K39" s="7" t="s">
        <v>139</v>
      </c>
      <c r="L39" s="7"/>
      <c r="M39" s="7" t="n">
        <v>0</v>
      </c>
      <c r="N39" s="7"/>
      <c r="O39" s="7"/>
      <c r="P39" s="7" t="s">
        <v>140</v>
      </c>
    </row>
    <row r="40" customFormat="false" ht="35.05" hidden="false" customHeight="false" outlineLevel="0" collapsed="false">
      <c r="A40" s="7" t="n">
        <v>4</v>
      </c>
      <c r="B40" s="21" t="n">
        <v>46332</v>
      </c>
      <c r="C40" s="7" t="s">
        <v>164</v>
      </c>
      <c r="D40" s="7" t="s">
        <v>74</v>
      </c>
      <c r="E40" s="24" t="s">
        <v>184</v>
      </c>
      <c r="F40" s="24" t="s">
        <v>194</v>
      </c>
      <c r="G40" s="7" t="n">
        <v>25</v>
      </c>
      <c r="H40" s="22" t="n">
        <v>2</v>
      </c>
      <c r="I40" s="7" t="s">
        <v>195</v>
      </c>
      <c r="J40" s="7" t="s">
        <v>187</v>
      </c>
      <c r="K40" s="7" t="s">
        <v>188</v>
      </c>
      <c r="L40" s="7" t="s">
        <v>146</v>
      </c>
      <c r="M40" s="7" t="n">
        <v>0</v>
      </c>
      <c r="N40" s="7"/>
      <c r="O40" s="7"/>
      <c r="P40" s="7" t="s">
        <v>147</v>
      </c>
    </row>
    <row r="41" customFormat="false" ht="35.05" hidden="false" customHeight="false" outlineLevel="0" collapsed="false">
      <c r="A41" s="7" t="n">
        <v>4</v>
      </c>
      <c r="B41" s="21" t="n">
        <v>46333</v>
      </c>
      <c r="C41" s="7" t="s">
        <v>167</v>
      </c>
      <c r="D41" s="7" t="s">
        <v>74</v>
      </c>
      <c r="E41" s="14" t="s">
        <v>40</v>
      </c>
      <c r="F41" s="14" t="s">
        <v>168</v>
      </c>
      <c r="G41" s="7" t="n">
        <v>100</v>
      </c>
      <c r="H41" s="22" t="n">
        <v>50</v>
      </c>
      <c r="I41" s="7" t="s">
        <v>199</v>
      </c>
      <c r="J41" s="7" t="s">
        <v>170</v>
      </c>
      <c r="K41" s="7" t="s">
        <v>139</v>
      </c>
      <c r="L41" s="7" t="s">
        <v>171</v>
      </c>
      <c r="M41" s="7" t="n">
        <v>0</v>
      </c>
      <c r="N41" s="7"/>
      <c r="O41" s="7"/>
      <c r="P41" s="7" t="s">
        <v>147</v>
      </c>
    </row>
    <row r="42" customFormat="false" ht="23.85" hidden="false" customHeight="false" outlineLevel="0" collapsed="false">
      <c r="A42" s="7" t="n">
        <v>4</v>
      </c>
      <c r="B42" s="21" t="n">
        <v>46334</v>
      </c>
      <c r="C42" s="7" t="s">
        <v>172</v>
      </c>
      <c r="D42" s="7" t="s">
        <v>74</v>
      </c>
      <c r="E42" s="12" t="s">
        <v>181</v>
      </c>
      <c r="F42" s="12" t="s">
        <v>181</v>
      </c>
      <c r="G42" s="7" t="n">
        <v>0</v>
      </c>
      <c r="H42" s="22"/>
      <c r="I42" s="7" t="s">
        <v>193</v>
      </c>
      <c r="J42" s="7" t="s">
        <v>71</v>
      </c>
      <c r="K42" s="7" t="s">
        <v>71</v>
      </c>
      <c r="L42" s="7"/>
      <c r="M42" s="7" t="n">
        <v>0</v>
      </c>
      <c r="N42" s="7"/>
      <c r="O42" s="7"/>
      <c r="P42" s="7"/>
    </row>
    <row r="43" customFormat="false" ht="23.85" hidden="false" customHeight="false" outlineLevel="0" collapsed="false">
      <c r="A43" s="7" t="n">
        <v>5</v>
      </c>
      <c r="B43" s="21" t="n">
        <v>46335</v>
      </c>
      <c r="C43" s="7" t="s">
        <v>135</v>
      </c>
      <c r="D43" s="7" t="s">
        <v>74</v>
      </c>
      <c r="E43" s="18" t="s">
        <v>42</v>
      </c>
      <c r="F43" s="18" t="s">
        <v>136</v>
      </c>
      <c r="G43" s="7" t="n">
        <v>55</v>
      </c>
      <c r="H43" s="22" t="n">
        <v>2.8</v>
      </c>
      <c r="I43" s="7" t="s">
        <v>200</v>
      </c>
      <c r="J43" s="7" t="s">
        <v>138</v>
      </c>
      <c r="K43" s="7" t="s">
        <v>139</v>
      </c>
      <c r="L43" s="7"/>
      <c r="M43" s="7" t="n">
        <v>0</v>
      </c>
      <c r="N43" s="7"/>
      <c r="O43" s="7"/>
      <c r="P43" s="7" t="s">
        <v>140</v>
      </c>
    </row>
    <row r="44" customFormat="false" ht="35.05" hidden="false" customHeight="false" outlineLevel="0" collapsed="false">
      <c r="A44" s="7" t="n">
        <v>5</v>
      </c>
      <c r="B44" s="21" t="n">
        <v>46335</v>
      </c>
      <c r="C44" s="7" t="s">
        <v>135</v>
      </c>
      <c r="D44" s="7" t="s">
        <v>74</v>
      </c>
      <c r="E44" s="24" t="s">
        <v>184</v>
      </c>
      <c r="F44" s="24" t="s">
        <v>201</v>
      </c>
      <c r="G44" s="7" t="n">
        <v>30</v>
      </c>
      <c r="H44" s="22" t="n">
        <v>3.3</v>
      </c>
      <c r="I44" s="7" t="s">
        <v>202</v>
      </c>
      <c r="J44" s="7" t="s">
        <v>187</v>
      </c>
      <c r="K44" s="7" t="s">
        <v>188</v>
      </c>
      <c r="L44" s="7" t="s">
        <v>146</v>
      </c>
      <c r="M44" s="7" t="n">
        <v>0</v>
      </c>
      <c r="N44" s="7"/>
      <c r="O44" s="7"/>
      <c r="P44" s="7" t="s">
        <v>147</v>
      </c>
    </row>
    <row r="45" customFormat="false" ht="35.05" hidden="false" customHeight="false" outlineLevel="0" collapsed="false">
      <c r="A45" s="7" t="n">
        <v>5</v>
      </c>
      <c r="B45" s="21" t="n">
        <v>46336</v>
      </c>
      <c r="C45" s="7" t="s">
        <v>141</v>
      </c>
      <c r="D45" s="7" t="s">
        <v>74</v>
      </c>
      <c r="E45" s="14" t="s">
        <v>40</v>
      </c>
      <c r="F45" s="14" t="s">
        <v>142</v>
      </c>
      <c r="G45" s="7" t="n">
        <v>60</v>
      </c>
      <c r="H45" s="22" t="n">
        <v>30</v>
      </c>
      <c r="I45" s="7" t="s">
        <v>203</v>
      </c>
      <c r="J45" s="7" t="s">
        <v>204</v>
      </c>
      <c r="K45" s="7" t="s">
        <v>145</v>
      </c>
      <c r="L45" s="7" t="s">
        <v>146</v>
      </c>
      <c r="M45" s="7" t="n">
        <v>20</v>
      </c>
      <c r="N45" s="7"/>
      <c r="O45" s="7"/>
      <c r="P45" s="7" t="s">
        <v>147</v>
      </c>
    </row>
    <row r="46" customFormat="false" ht="46.25" hidden="false" customHeight="false" outlineLevel="0" collapsed="false">
      <c r="A46" s="7" t="n">
        <v>5</v>
      </c>
      <c r="B46" s="21" t="n">
        <v>46336</v>
      </c>
      <c r="C46" s="7" t="s">
        <v>141</v>
      </c>
      <c r="D46" s="7" t="s">
        <v>74</v>
      </c>
      <c r="E46" s="23" t="s">
        <v>148</v>
      </c>
      <c r="F46" s="23" t="s">
        <v>149</v>
      </c>
      <c r="G46" s="7" t="n">
        <v>40</v>
      </c>
      <c r="H46" s="22"/>
      <c r="I46" s="7" t="s">
        <v>150</v>
      </c>
      <c r="J46" s="7" t="s">
        <v>151</v>
      </c>
      <c r="K46" s="7" t="s">
        <v>152</v>
      </c>
      <c r="L46" s="7"/>
      <c r="M46" s="7" t="n">
        <v>0</v>
      </c>
      <c r="N46" s="7"/>
      <c r="O46" s="7"/>
      <c r="P46" s="7" t="s">
        <v>153</v>
      </c>
    </row>
    <row r="47" customFormat="false" ht="23.85" hidden="false" customHeight="false" outlineLevel="0" collapsed="false">
      <c r="A47" s="7" t="n">
        <v>5</v>
      </c>
      <c r="B47" s="21" t="n">
        <v>46337</v>
      </c>
      <c r="C47" s="7" t="s">
        <v>154</v>
      </c>
      <c r="D47" s="7" t="s">
        <v>74</v>
      </c>
      <c r="E47" s="18" t="s">
        <v>42</v>
      </c>
      <c r="F47" s="18" t="s">
        <v>155</v>
      </c>
      <c r="G47" s="7" t="n">
        <v>55</v>
      </c>
      <c r="H47" s="22" t="n">
        <v>2.6</v>
      </c>
      <c r="I47" s="7" t="s">
        <v>205</v>
      </c>
      <c r="J47" s="7" t="s">
        <v>157</v>
      </c>
      <c r="K47" s="7" t="s">
        <v>152</v>
      </c>
      <c r="L47" s="7"/>
      <c r="M47" s="7" t="n">
        <v>26</v>
      </c>
      <c r="N47" s="7"/>
      <c r="O47" s="7"/>
      <c r="P47" s="7" t="s">
        <v>140</v>
      </c>
    </row>
    <row r="48" customFormat="false" ht="35.05" hidden="false" customHeight="false" outlineLevel="0" collapsed="false">
      <c r="A48" s="7" t="n">
        <v>5</v>
      </c>
      <c r="B48" s="21" t="n">
        <v>46337</v>
      </c>
      <c r="C48" s="7" t="s">
        <v>154</v>
      </c>
      <c r="D48" s="7" t="s">
        <v>74</v>
      </c>
      <c r="E48" s="24" t="s">
        <v>184</v>
      </c>
      <c r="F48" s="24" t="s">
        <v>201</v>
      </c>
      <c r="G48" s="7" t="n">
        <v>30</v>
      </c>
      <c r="H48" s="22" t="n">
        <v>3.3</v>
      </c>
      <c r="I48" s="7" t="s">
        <v>202</v>
      </c>
      <c r="J48" s="7" t="s">
        <v>187</v>
      </c>
      <c r="K48" s="7" t="s">
        <v>188</v>
      </c>
      <c r="L48" s="7" t="s">
        <v>146</v>
      </c>
      <c r="M48" s="7" t="n">
        <v>0</v>
      </c>
      <c r="N48" s="7"/>
      <c r="O48" s="7"/>
      <c r="P48" s="7" t="s">
        <v>147</v>
      </c>
    </row>
    <row r="49" customFormat="false" ht="23.85" hidden="false" customHeight="false" outlineLevel="0" collapsed="false">
      <c r="A49" s="7" t="n">
        <v>5</v>
      </c>
      <c r="B49" s="21" t="n">
        <v>46338</v>
      </c>
      <c r="C49" s="7" t="s">
        <v>158</v>
      </c>
      <c r="D49" s="7" t="s">
        <v>74</v>
      </c>
      <c r="E49" s="14" t="s">
        <v>40</v>
      </c>
      <c r="F49" s="14" t="s">
        <v>159</v>
      </c>
      <c r="G49" s="7" t="n">
        <v>50</v>
      </c>
      <c r="H49" s="22" t="n">
        <v>25</v>
      </c>
      <c r="I49" s="7" t="s">
        <v>197</v>
      </c>
      <c r="J49" s="7" t="s">
        <v>161</v>
      </c>
      <c r="K49" s="7" t="s">
        <v>139</v>
      </c>
      <c r="L49" s="7" t="s">
        <v>146</v>
      </c>
      <c r="M49" s="7" t="n">
        <v>0</v>
      </c>
      <c r="N49" s="7"/>
      <c r="O49" s="7"/>
      <c r="P49" s="7" t="s">
        <v>147</v>
      </c>
    </row>
    <row r="50" customFormat="false" ht="23.85" hidden="false" customHeight="false" outlineLevel="0" collapsed="false">
      <c r="A50" s="7" t="n">
        <v>5</v>
      </c>
      <c r="B50" s="21" t="n">
        <v>46338</v>
      </c>
      <c r="C50" s="7" t="s">
        <v>158</v>
      </c>
      <c r="D50" s="7" t="s">
        <v>74</v>
      </c>
      <c r="E50" s="23" t="s">
        <v>148</v>
      </c>
      <c r="F50" s="23" t="s">
        <v>162</v>
      </c>
      <c r="G50" s="7" t="n">
        <v>35</v>
      </c>
      <c r="H50" s="22"/>
      <c r="I50" s="7" t="s">
        <v>163</v>
      </c>
      <c r="J50" s="7" t="s">
        <v>151</v>
      </c>
      <c r="K50" s="7" t="s">
        <v>152</v>
      </c>
      <c r="L50" s="7"/>
      <c r="M50" s="7" t="n">
        <v>0</v>
      </c>
      <c r="N50" s="7"/>
      <c r="O50" s="7"/>
      <c r="P50" s="7" t="s">
        <v>153</v>
      </c>
    </row>
    <row r="51" customFormat="false" ht="23.85" hidden="false" customHeight="false" outlineLevel="0" collapsed="false">
      <c r="A51" s="7" t="n">
        <v>5</v>
      </c>
      <c r="B51" s="21" t="n">
        <v>46339</v>
      </c>
      <c r="C51" s="7" t="s">
        <v>164</v>
      </c>
      <c r="D51" s="7" t="s">
        <v>74</v>
      </c>
      <c r="E51" s="18" t="s">
        <v>42</v>
      </c>
      <c r="F51" s="18" t="s">
        <v>165</v>
      </c>
      <c r="G51" s="7" t="n">
        <v>55</v>
      </c>
      <c r="H51" s="22" t="n">
        <v>2.8</v>
      </c>
      <c r="I51" s="7" t="s">
        <v>206</v>
      </c>
      <c r="J51" s="7" t="s">
        <v>138</v>
      </c>
      <c r="K51" s="7" t="s">
        <v>139</v>
      </c>
      <c r="L51" s="7"/>
      <c r="M51" s="7" t="n">
        <v>0</v>
      </c>
      <c r="N51" s="7"/>
      <c r="O51" s="7"/>
      <c r="P51" s="7" t="s">
        <v>140</v>
      </c>
    </row>
    <row r="52" customFormat="false" ht="35.05" hidden="false" customHeight="false" outlineLevel="0" collapsed="false">
      <c r="A52" s="7" t="n">
        <v>5</v>
      </c>
      <c r="B52" s="21" t="n">
        <v>46339</v>
      </c>
      <c r="C52" s="7" t="s">
        <v>164</v>
      </c>
      <c r="D52" s="7" t="s">
        <v>74</v>
      </c>
      <c r="E52" s="24" t="s">
        <v>184</v>
      </c>
      <c r="F52" s="24" t="s">
        <v>201</v>
      </c>
      <c r="G52" s="7" t="n">
        <v>30</v>
      </c>
      <c r="H52" s="22" t="n">
        <v>3.3</v>
      </c>
      <c r="I52" s="7" t="s">
        <v>202</v>
      </c>
      <c r="J52" s="7" t="s">
        <v>187</v>
      </c>
      <c r="K52" s="7" t="s">
        <v>188</v>
      </c>
      <c r="L52" s="7" t="s">
        <v>146</v>
      </c>
      <c r="M52" s="7" t="n">
        <v>0</v>
      </c>
      <c r="N52" s="7"/>
      <c r="O52" s="7"/>
      <c r="P52" s="7" t="s">
        <v>147</v>
      </c>
    </row>
    <row r="53" customFormat="false" ht="35.05" hidden="false" customHeight="false" outlineLevel="0" collapsed="false">
      <c r="A53" s="7" t="n">
        <v>5</v>
      </c>
      <c r="B53" s="21" t="n">
        <v>46340</v>
      </c>
      <c r="C53" s="7" t="s">
        <v>167</v>
      </c>
      <c r="D53" s="7" t="s">
        <v>74</v>
      </c>
      <c r="E53" s="14" t="s">
        <v>40</v>
      </c>
      <c r="F53" s="14" t="s">
        <v>168</v>
      </c>
      <c r="G53" s="7" t="n">
        <v>120</v>
      </c>
      <c r="H53" s="22" t="n">
        <v>60</v>
      </c>
      <c r="I53" s="7" t="s">
        <v>207</v>
      </c>
      <c r="J53" s="7" t="s">
        <v>170</v>
      </c>
      <c r="K53" s="7" t="s">
        <v>139</v>
      </c>
      <c r="L53" s="7" t="s">
        <v>171</v>
      </c>
      <c r="M53" s="7" t="n">
        <v>0</v>
      </c>
      <c r="N53" s="7"/>
      <c r="O53" s="7"/>
      <c r="P53" s="7" t="s">
        <v>147</v>
      </c>
    </row>
    <row r="54" customFormat="false" ht="23.85" hidden="false" customHeight="false" outlineLevel="0" collapsed="false">
      <c r="A54" s="7" t="n">
        <v>5</v>
      </c>
      <c r="B54" s="21" t="n">
        <v>46341</v>
      </c>
      <c r="C54" s="7" t="s">
        <v>172</v>
      </c>
      <c r="D54" s="7" t="s">
        <v>74</v>
      </c>
      <c r="E54" s="12" t="s">
        <v>181</v>
      </c>
      <c r="F54" s="12" t="s">
        <v>181</v>
      </c>
      <c r="G54" s="7" t="n">
        <v>0</v>
      </c>
      <c r="H54" s="22"/>
      <c r="I54" s="7" t="s">
        <v>193</v>
      </c>
      <c r="J54" s="7" t="s">
        <v>71</v>
      </c>
      <c r="K54" s="7" t="s">
        <v>71</v>
      </c>
      <c r="L54" s="7"/>
      <c r="M54" s="7" t="n">
        <v>0</v>
      </c>
      <c r="N54" s="7"/>
      <c r="O54" s="7"/>
      <c r="P54" s="7"/>
    </row>
    <row r="55" customFormat="false" ht="23.85" hidden="false" customHeight="false" outlineLevel="0" collapsed="false">
      <c r="A55" s="7" t="n">
        <v>6</v>
      </c>
      <c r="B55" s="21" t="n">
        <v>46342</v>
      </c>
      <c r="C55" s="7" t="s">
        <v>135</v>
      </c>
      <c r="D55" s="7" t="s">
        <v>74</v>
      </c>
      <c r="E55" s="18" t="s">
        <v>42</v>
      </c>
      <c r="F55" s="18" t="s">
        <v>136</v>
      </c>
      <c r="G55" s="7" t="n">
        <v>45</v>
      </c>
      <c r="H55" s="22" t="n">
        <v>2.2</v>
      </c>
      <c r="I55" s="7" t="s">
        <v>177</v>
      </c>
      <c r="J55" s="7" t="s">
        <v>138</v>
      </c>
      <c r="K55" s="7" t="s">
        <v>139</v>
      </c>
      <c r="L55" s="7"/>
      <c r="M55" s="7" t="n">
        <v>0</v>
      </c>
      <c r="N55" s="7"/>
      <c r="O55" s="7"/>
      <c r="P55" s="7" t="s">
        <v>140</v>
      </c>
    </row>
    <row r="56" customFormat="false" ht="35.05" hidden="false" customHeight="false" outlineLevel="0" collapsed="false">
      <c r="A56" s="7" t="n">
        <v>6</v>
      </c>
      <c r="B56" s="21" t="n">
        <v>46342</v>
      </c>
      <c r="C56" s="7" t="s">
        <v>135</v>
      </c>
      <c r="D56" s="7" t="s">
        <v>74</v>
      </c>
      <c r="E56" s="23" t="s">
        <v>148</v>
      </c>
      <c r="F56" s="23" t="s">
        <v>149</v>
      </c>
      <c r="G56" s="7" t="n">
        <v>30</v>
      </c>
      <c r="H56" s="22"/>
      <c r="I56" s="7" t="s">
        <v>178</v>
      </c>
      <c r="J56" s="7" t="s">
        <v>151</v>
      </c>
      <c r="K56" s="7" t="s">
        <v>152</v>
      </c>
      <c r="L56" s="7"/>
      <c r="M56" s="7" t="n">
        <v>0</v>
      </c>
      <c r="N56" s="7"/>
      <c r="O56" s="7"/>
      <c r="P56" s="7" t="s">
        <v>153</v>
      </c>
    </row>
    <row r="57" customFormat="false" ht="23.85" hidden="false" customHeight="false" outlineLevel="0" collapsed="false">
      <c r="A57" s="7" t="n">
        <v>6</v>
      </c>
      <c r="B57" s="21" t="n">
        <v>46343</v>
      </c>
      <c r="C57" s="7" t="s">
        <v>141</v>
      </c>
      <c r="D57" s="7" t="s">
        <v>74</v>
      </c>
      <c r="E57" s="14" t="s">
        <v>40</v>
      </c>
      <c r="F57" s="14" t="s">
        <v>159</v>
      </c>
      <c r="G57" s="7" t="n">
        <v>45</v>
      </c>
      <c r="H57" s="22" t="n">
        <v>22</v>
      </c>
      <c r="I57" s="7" t="s">
        <v>191</v>
      </c>
      <c r="J57" s="7" t="s">
        <v>161</v>
      </c>
      <c r="K57" s="7" t="s">
        <v>139</v>
      </c>
      <c r="L57" s="7" t="s">
        <v>146</v>
      </c>
      <c r="M57" s="7" t="n">
        <v>0</v>
      </c>
      <c r="N57" s="7"/>
      <c r="O57" s="7"/>
      <c r="P57" s="7" t="s">
        <v>147</v>
      </c>
    </row>
    <row r="58" customFormat="false" ht="35.05" hidden="false" customHeight="false" outlineLevel="0" collapsed="false">
      <c r="A58" s="7" t="n">
        <v>6</v>
      </c>
      <c r="B58" s="21" t="n">
        <v>46343</v>
      </c>
      <c r="C58" s="7" t="s">
        <v>141</v>
      </c>
      <c r="D58" s="7" t="s">
        <v>74</v>
      </c>
      <c r="E58" s="24" t="s">
        <v>184</v>
      </c>
      <c r="F58" s="24" t="s">
        <v>201</v>
      </c>
      <c r="G58" s="7" t="n">
        <v>30</v>
      </c>
      <c r="H58" s="22" t="n">
        <v>3.3</v>
      </c>
      <c r="I58" s="7" t="s">
        <v>202</v>
      </c>
      <c r="J58" s="7" t="s">
        <v>187</v>
      </c>
      <c r="K58" s="7" t="s">
        <v>188</v>
      </c>
      <c r="L58" s="7" t="s">
        <v>146</v>
      </c>
      <c r="M58" s="7" t="n">
        <v>0</v>
      </c>
      <c r="N58" s="7"/>
      <c r="O58" s="7"/>
      <c r="P58" s="7" t="s">
        <v>153</v>
      </c>
    </row>
    <row r="59" customFormat="false" ht="23.85" hidden="false" customHeight="false" outlineLevel="0" collapsed="false">
      <c r="A59" s="7" t="n">
        <v>6</v>
      </c>
      <c r="B59" s="21" t="n">
        <v>46344</v>
      </c>
      <c r="C59" s="7" t="s">
        <v>154</v>
      </c>
      <c r="D59" s="7" t="s">
        <v>74</v>
      </c>
      <c r="E59" s="18" t="s">
        <v>42</v>
      </c>
      <c r="F59" s="18" t="s">
        <v>208</v>
      </c>
      <c r="G59" s="7" t="n">
        <v>45</v>
      </c>
      <c r="H59" s="22" t="n">
        <v>1.8</v>
      </c>
      <c r="I59" s="7" t="s">
        <v>209</v>
      </c>
      <c r="J59" s="7" t="s">
        <v>210</v>
      </c>
      <c r="K59" s="7" t="s">
        <v>211</v>
      </c>
      <c r="L59" s="7"/>
      <c r="M59" s="7" t="n">
        <v>10</v>
      </c>
      <c r="N59" s="7"/>
      <c r="O59" s="7"/>
      <c r="P59" s="7" t="s">
        <v>140</v>
      </c>
    </row>
    <row r="60" customFormat="false" ht="23.85" hidden="false" customHeight="false" outlineLevel="0" collapsed="false">
      <c r="A60" s="7" t="n">
        <v>6</v>
      </c>
      <c r="B60" s="21" t="n">
        <v>46345</v>
      </c>
      <c r="C60" s="7" t="s">
        <v>158</v>
      </c>
      <c r="D60" s="7" t="s">
        <v>74</v>
      </c>
      <c r="E60" s="14" t="s">
        <v>40</v>
      </c>
      <c r="F60" s="14" t="s">
        <v>173</v>
      </c>
      <c r="G60" s="7" t="n">
        <v>40</v>
      </c>
      <c r="H60" s="22" t="n">
        <v>18</v>
      </c>
      <c r="I60" s="7" t="s">
        <v>212</v>
      </c>
      <c r="J60" s="7" t="s">
        <v>175</v>
      </c>
      <c r="K60" s="7" t="s">
        <v>176</v>
      </c>
      <c r="L60" s="7" t="s">
        <v>146</v>
      </c>
      <c r="M60" s="7" t="n">
        <v>0</v>
      </c>
      <c r="N60" s="7"/>
      <c r="O60" s="7"/>
      <c r="P60" s="7" t="s">
        <v>147</v>
      </c>
    </row>
    <row r="61" customFormat="false" ht="35.05" hidden="false" customHeight="false" outlineLevel="0" collapsed="false">
      <c r="A61" s="7" t="n">
        <v>6</v>
      </c>
      <c r="B61" s="21" t="n">
        <v>46345</v>
      </c>
      <c r="C61" s="7" t="s">
        <v>158</v>
      </c>
      <c r="D61" s="7" t="s">
        <v>74</v>
      </c>
      <c r="E61" s="24" t="s">
        <v>184</v>
      </c>
      <c r="F61" s="24" t="s">
        <v>201</v>
      </c>
      <c r="G61" s="7" t="n">
        <v>30</v>
      </c>
      <c r="H61" s="22" t="n">
        <v>3.3</v>
      </c>
      <c r="I61" s="7" t="s">
        <v>202</v>
      </c>
      <c r="J61" s="7" t="s">
        <v>187</v>
      </c>
      <c r="K61" s="7" t="s">
        <v>188</v>
      </c>
      <c r="L61" s="7" t="s">
        <v>146</v>
      </c>
      <c r="M61" s="7" t="n">
        <v>0</v>
      </c>
      <c r="N61" s="7"/>
      <c r="O61" s="7"/>
      <c r="P61" s="7" t="s">
        <v>153</v>
      </c>
    </row>
    <row r="62" customFormat="false" ht="23.85" hidden="false" customHeight="false" outlineLevel="0" collapsed="false">
      <c r="A62" s="7" t="n">
        <v>6</v>
      </c>
      <c r="B62" s="21" t="n">
        <v>46345</v>
      </c>
      <c r="C62" s="7" t="s">
        <v>158</v>
      </c>
      <c r="D62" s="7" t="s">
        <v>74</v>
      </c>
      <c r="E62" s="23" t="s">
        <v>148</v>
      </c>
      <c r="F62" s="23" t="s">
        <v>162</v>
      </c>
      <c r="G62" s="7" t="n">
        <v>30</v>
      </c>
      <c r="H62" s="22"/>
      <c r="I62" s="7" t="s">
        <v>163</v>
      </c>
      <c r="J62" s="7" t="s">
        <v>151</v>
      </c>
      <c r="K62" s="7" t="s">
        <v>152</v>
      </c>
      <c r="L62" s="7"/>
      <c r="M62" s="7" t="n">
        <v>0</v>
      </c>
      <c r="N62" s="7"/>
      <c r="O62" s="7"/>
      <c r="P62" s="7" t="s">
        <v>213</v>
      </c>
    </row>
    <row r="63" customFormat="false" ht="23.85" hidden="false" customHeight="false" outlineLevel="0" collapsed="false">
      <c r="A63" s="7" t="n">
        <v>6</v>
      </c>
      <c r="B63" s="21" t="n">
        <v>46346</v>
      </c>
      <c r="C63" s="7" t="s">
        <v>164</v>
      </c>
      <c r="D63" s="7" t="s">
        <v>74</v>
      </c>
      <c r="E63" s="18" t="s">
        <v>42</v>
      </c>
      <c r="F63" s="18" t="s">
        <v>214</v>
      </c>
      <c r="G63" s="7" t="n">
        <v>40</v>
      </c>
      <c r="H63" s="22" t="n">
        <v>1.8</v>
      </c>
      <c r="I63" s="7" t="s">
        <v>215</v>
      </c>
      <c r="J63" s="7" t="s">
        <v>216</v>
      </c>
      <c r="K63" s="7" t="s">
        <v>217</v>
      </c>
      <c r="L63" s="7"/>
      <c r="M63" s="7" t="n">
        <v>0</v>
      </c>
      <c r="N63" s="7"/>
      <c r="O63" s="7"/>
      <c r="P63" s="7" t="s">
        <v>140</v>
      </c>
    </row>
    <row r="64" customFormat="false" ht="23.85" hidden="false" customHeight="false" outlineLevel="0" collapsed="false">
      <c r="A64" s="7" t="n">
        <v>6</v>
      </c>
      <c r="B64" s="21" t="n">
        <v>46347</v>
      </c>
      <c r="C64" s="7" t="s">
        <v>167</v>
      </c>
      <c r="D64" s="7" t="s">
        <v>74</v>
      </c>
      <c r="E64" s="14" t="s">
        <v>40</v>
      </c>
      <c r="F64" s="14" t="s">
        <v>218</v>
      </c>
      <c r="G64" s="7" t="n">
        <v>45</v>
      </c>
      <c r="H64" s="22" t="n">
        <v>18</v>
      </c>
      <c r="I64" s="7" t="s">
        <v>219</v>
      </c>
      <c r="J64" s="7" t="s">
        <v>220</v>
      </c>
      <c r="K64" s="7" t="s">
        <v>221</v>
      </c>
      <c r="L64" s="7" t="s">
        <v>146</v>
      </c>
      <c r="M64" s="7" t="n">
        <v>8</v>
      </c>
      <c r="N64" s="7"/>
      <c r="O64" s="7"/>
      <c r="P64" s="7" t="s">
        <v>147</v>
      </c>
    </row>
    <row r="65" customFormat="false" ht="35.05" hidden="false" customHeight="false" outlineLevel="0" collapsed="false">
      <c r="A65" s="7" t="n">
        <v>6</v>
      </c>
      <c r="B65" s="21" t="n">
        <v>46348</v>
      </c>
      <c r="C65" s="7" t="s">
        <v>172</v>
      </c>
      <c r="D65" s="7" t="s">
        <v>74</v>
      </c>
      <c r="E65" s="24" t="s">
        <v>184</v>
      </c>
      <c r="F65" s="24" t="s">
        <v>201</v>
      </c>
      <c r="G65" s="7" t="n">
        <v>30</v>
      </c>
      <c r="H65" s="22" t="n">
        <v>3.3</v>
      </c>
      <c r="I65" s="7" t="s">
        <v>202</v>
      </c>
      <c r="J65" s="7" t="s">
        <v>187</v>
      </c>
      <c r="K65" s="7" t="s">
        <v>188</v>
      </c>
      <c r="L65" s="7" t="s">
        <v>146</v>
      </c>
      <c r="M65" s="7" t="n">
        <v>0</v>
      </c>
      <c r="N65" s="7"/>
      <c r="O65" s="7"/>
      <c r="P65" s="7" t="s">
        <v>147</v>
      </c>
    </row>
    <row r="66" customFormat="false" ht="23.85" hidden="false" customHeight="false" outlineLevel="0" collapsed="false">
      <c r="A66" s="7" t="n">
        <v>7</v>
      </c>
      <c r="B66" s="21" t="n">
        <v>46349</v>
      </c>
      <c r="C66" s="7" t="s">
        <v>135</v>
      </c>
      <c r="D66" s="7" t="s">
        <v>80</v>
      </c>
      <c r="E66" s="18" t="s">
        <v>42</v>
      </c>
      <c r="F66" s="18" t="s">
        <v>136</v>
      </c>
      <c r="G66" s="7" t="n">
        <v>55</v>
      </c>
      <c r="H66" s="22" t="n">
        <v>2.8</v>
      </c>
      <c r="I66" s="7" t="s">
        <v>200</v>
      </c>
      <c r="J66" s="7" t="s">
        <v>138</v>
      </c>
      <c r="K66" s="7" t="s">
        <v>139</v>
      </c>
      <c r="L66" s="7"/>
      <c r="M66" s="7" t="n">
        <v>0</v>
      </c>
      <c r="N66" s="7"/>
      <c r="O66" s="7"/>
      <c r="P66" s="7" t="s">
        <v>140</v>
      </c>
    </row>
    <row r="67" customFormat="false" ht="35.05" hidden="false" customHeight="false" outlineLevel="0" collapsed="false">
      <c r="A67" s="7" t="n">
        <v>7</v>
      </c>
      <c r="B67" s="21" t="n">
        <v>46349</v>
      </c>
      <c r="C67" s="7" t="s">
        <v>135</v>
      </c>
      <c r="D67" s="7" t="s">
        <v>80</v>
      </c>
      <c r="E67" s="24" t="s">
        <v>184</v>
      </c>
      <c r="F67" s="24" t="s">
        <v>222</v>
      </c>
      <c r="G67" s="7" t="n">
        <v>30</v>
      </c>
      <c r="H67" s="22" t="n">
        <v>4</v>
      </c>
      <c r="I67" s="7" t="s">
        <v>223</v>
      </c>
      <c r="J67" s="7" t="s">
        <v>187</v>
      </c>
      <c r="K67" s="7" t="s">
        <v>188</v>
      </c>
      <c r="L67" s="7" t="s">
        <v>146</v>
      </c>
      <c r="M67" s="7" t="n">
        <v>0</v>
      </c>
      <c r="N67" s="7"/>
      <c r="O67" s="7"/>
      <c r="P67" s="7" t="s">
        <v>147</v>
      </c>
    </row>
    <row r="68" customFormat="false" ht="35.05" hidden="false" customHeight="false" outlineLevel="0" collapsed="false">
      <c r="A68" s="7" t="n">
        <v>7</v>
      </c>
      <c r="B68" s="21" t="n">
        <v>46350</v>
      </c>
      <c r="C68" s="7" t="s">
        <v>141</v>
      </c>
      <c r="D68" s="7" t="s">
        <v>80</v>
      </c>
      <c r="E68" s="14" t="s">
        <v>40</v>
      </c>
      <c r="F68" s="14" t="s">
        <v>142</v>
      </c>
      <c r="G68" s="7" t="n">
        <v>70</v>
      </c>
      <c r="H68" s="22" t="n">
        <v>35</v>
      </c>
      <c r="I68" s="7" t="s">
        <v>224</v>
      </c>
      <c r="J68" s="7" t="s">
        <v>204</v>
      </c>
      <c r="K68" s="7" t="s">
        <v>145</v>
      </c>
      <c r="L68" s="7" t="s">
        <v>146</v>
      </c>
      <c r="M68" s="7" t="n">
        <v>24</v>
      </c>
      <c r="N68" s="7"/>
      <c r="O68" s="7"/>
      <c r="P68" s="7" t="s">
        <v>147</v>
      </c>
    </row>
    <row r="69" customFormat="false" ht="46.25" hidden="false" customHeight="false" outlineLevel="0" collapsed="false">
      <c r="A69" s="7" t="n">
        <v>7</v>
      </c>
      <c r="B69" s="21" t="n">
        <v>46350</v>
      </c>
      <c r="C69" s="7" t="s">
        <v>141</v>
      </c>
      <c r="D69" s="7" t="s">
        <v>80</v>
      </c>
      <c r="E69" s="23" t="s">
        <v>148</v>
      </c>
      <c r="F69" s="23" t="s">
        <v>149</v>
      </c>
      <c r="G69" s="7" t="n">
        <v>45</v>
      </c>
      <c r="H69" s="22"/>
      <c r="I69" s="7" t="s">
        <v>150</v>
      </c>
      <c r="J69" s="7" t="s">
        <v>151</v>
      </c>
      <c r="K69" s="7" t="s">
        <v>152</v>
      </c>
      <c r="L69" s="7"/>
      <c r="M69" s="7" t="n">
        <v>0</v>
      </c>
      <c r="N69" s="7"/>
      <c r="O69" s="7"/>
      <c r="P69" s="7" t="s">
        <v>153</v>
      </c>
    </row>
    <row r="70" customFormat="false" ht="23.85" hidden="false" customHeight="false" outlineLevel="0" collapsed="false">
      <c r="A70" s="7" t="n">
        <v>7</v>
      </c>
      <c r="B70" s="21" t="n">
        <v>46351</v>
      </c>
      <c r="C70" s="7" t="s">
        <v>154</v>
      </c>
      <c r="D70" s="7" t="s">
        <v>80</v>
      </c>
      <c r="E70" s="18" t="s">
        <v>42</v>
      </c>
      <c r="F70" s="18" t="s">
        <v>155</v>
      </c>
      <c r="G70" s="7" t="n">
        <v>55</v>
      </c>
      <c r="H70" s="22" t="n">
        <v>2.6</v>
      </c>
      <c r="I70" s="7" t="s">
        <v>225</v>
      </c>
      <c r="J70" s="7" t="s">
        <v>157</v>
      </c>
      <c r="K70" s="7" t="s">
        <v>152</v>
      </c>
      <c r="L70" s="7"/>
      <c r="M70" s="7" t="n">
        <v>26</v>
      </c>
      <c r="N70" s="7"/>
      <c r="O70" s="7"/>
      <c r="P70" s="7" t="s">
        <v>140</v>
      </c>
    </row>
    <row r="71" customFormat="false" ht="35.05" hidden="false" customHeight="false" outlineLevel="0" collapsed="false">
      <c r="A71" s="7" t="n">
        <v>7</v>
      </c>
      <c r="B71" s="21" t="n">
        <v>46351</v>
      </c>
      <c r="C71" s="7" t="s">
        <v>154</v>
      </c>
      <c r="D71" s="7" t="s">
        <v>80</v>
      </c>
      <c r="E71" s="24" t="s">
        <v>184</v>
      </c>
      <c r="F71" s="24" t="s">
        <v>222</v>
      </c>
      <c r="G71" s="7" t="n">
        <v>30</v>
      </c>
      <c r="H71" s="22" t="n">
        <v>4</v>
      </c>
      <c r="I71" s="7" t="s">
        <v>223</v>
      </c>
      <c r="J71" s="7" t="s">
        <v>187</v>
      </c>
      <c r="K71" s="7" t="s">
        <v>188</v>
      </c>
      <c r="L71" s="7" t="s">
        <v>146</v>
      </c>
      <c r="M71" s="7" t="n">
        <v>0</v>
      </c>
      <c r="N71" s="7"/>
      <c r="O71" s="7"/>
      <c r="P71" s="7" t="s">
        <v>147</v>
      </c>
    </row>
    <row r="72" customFormat="false" ht="23.85" hidden="false" customHeight="false" outlineLevel="0" collapsed="false">
      <c r="A72" s="7" t="n">
        <v>7</v>
      </c>
      <c r="B72" s="21" t="n">
        <v>46352</v>
      </c>
      <c r="C72" s="7" t="s">
        <v>158</v>
      </c>
      <c r="D72" s="7" t="s">
        <v>80</v>
      </c>
      <c r="E72" s="14" t="s">
        <v>40</v>
      </c>
      <c r="F72" s="14" t="s">
        <v>159</v>
      </c>
      <c r="G72" s="7" t="n">
        <v>50</v>
      </c>
      <c r="H72" s="22" t="n">
        <v>25</v>
      </c>
      <c r="I72" s="7" t="s">
        <v>197</v>
      </c>
      <c r="J72" s="7" t="s">
        <v>161</v>
      </c>
      <c r="K72" s="7" t="s">
        <v>139</v>
      </c>
      <c r="L72" s="7" t="s">
        <v>146</v>
      </c>
      <c r="M72" s="7" t="n">
        <v>0</v>
      </c>
      <c r="N72" s="7"/>
      <c r="O72" s="7"/>
      <c r="P72" s="7" t="s">
        <v>147</v>
      </c>
    </row>
    <row r="73" customFormat="false" ht="23.85" hidden="false" customHeight="false" outlineLevel="0" collapsed="false">
      <c r="A73" s="7" t="n">
        <v>7</v>
      </c>
      <c r="B73" s="21" t="n">
        <v>46352</v>
      </c>
      <c r="C73" s="7" t="s">
        <v>158</v>
      </c>
      <c r="D73" s="7" t="s">
        <v>80</v>
      </c>
      <c r="E73" s="23" t="s">
        <v>148</v>
      </c>
      <c r="F73" s="23" t="s">
        <v>162</v>
      </c>
      <c r="G73" s="7" t="n">
        <v>40</v>
      </c>
      <c r="H73" s="22"/>
      <c r="I73" s="7" t="s">
        <v>163</v>
      </c>
      <c r="J73" s="7" t="s">
        <v>151</v>
      </c>
      <c r="K73" s="7" t="s">
        <v>152</v>
      </c>
      <c r="L73" s="7"/>
      <c r="M73" s="7" t="n">
        <v>0</v>
      </c>
      <c r="N73" s="7"/>
      <c r="O73" s="7"/>
      <c r="P73" s="7" t="s">
        <v>153</v>
      </c>
    </row>
    <row r="74" customFormat="false" ht="23.85" hidden="false" customHeight="false" outlineLevel="0" collapsed="false">
      <c r="A74" s="7" t="n">
        <v>7</v>
      </c>
      <c r="B74" s="21" t="n">
        <v>46353</v>
      </c>
      <c r="C74" s="7" t="s">
        <v>164</v>
      </c>
      <c r="D74" s="7" t="s">
        <v>80</v>
      </c>
      <c r="E74" s="18" t="s">
        <v>42</v>
      </c>
      <c r="F74" s="18" t="s">
        <v>165</v>
      </c>
      <c r="G74" s="7" t="n">
        <v>55</v>
      </c>
      <c r="H74" s="22" t="n">
        <v>2.8</v>
      </c>
      <c r="I74" s="7" t="s">
        <v>206</v>
      </c>
      <c r="J74" s="7" t="s">
        <v>138</v>
      </c>
      <c r="K74" s="7" t="s">
        <v>139</v>
      </c>
      <c r="L74" s="7"/>
      <c r="M74" s="7" t="n">
        <v>0</v>
      </c>
      <c r="N74" s="7"/>
      <c r="O74" s="7"/>
      <c r="P74" s="7" t="s">
        <v>140</v>
      </c>
    </row>
    <row r="75" customFormat="false" ht="35.05" hidden="false" customHeight="false" outlineLevel="0" collapsed="false">
      <c r="A75" s="7" t="n">
        <v>7</v>
      </c>
      <c r="B75" s="21" t="n">
        <v>46353</v>
      </c>
      <c r="C75" s="7" t="s">
        <v>164</v>
      </c>
      <c r="D75" s="7" t="s">
        <v>80</v>
      </c>
      <c r="E75" s="24" t="s">
        <v>184</v>
      </c>
      <c r="F75" s="24" t="s">
        <v>222</v>
      </c>
      <c r="G75" s="7" t="n">
        <v>30</v>
      </c>
      <c r="H75" s="22" t="n">
        <v>4</v>
      </c>
      <c r="I75" s="7" t="s">
        <v>223</v>
      </c>
      <c r="J75" s="7" t="s">
        <v>187</v>
      </c>
      <c r="K75" s="7" t="s">
        <v>188</v>
      </c>
      <c r="L75" s="7" t="s">
        <v>146</v>
      </c>
      <c r="M75" s="7" t="n">
        <v>0</v>
      </c>
      <c r="N75" s="7"/>
      <c r="O75" s="7"/>
      <c r="P75" s="7" t="s">
        <v>147</v>
      </c>
    </row>
    <row r="76" customFormat="false" ht="35.05" hidden="false" customHeight="false" outlineLevel="0" collapsed="false">
      <c r="A76" s="7" t="n">
        <v>7</v>
      </c>
      <c r="B76" s="21" t="n">
        <v>46354</v>
      </c>
      <c r="C76" s="7" t="s">
        <v>167</v>
      </c>
      <c r="D76" s="7" t="s">
        <v>80</v>
      </c>
      <c r="E76" s="14" t="s">
        <v>40</v>
      </c>
      <c r="F76" s="14" t="s">
        <v>168</v>
      </c>
      <c r="G76" s="7" t="n">
        <v>130</v>
      </c>
      <c r="H76" s="22" t="n">
        <v>65</v>
      </c>
      <c r="I76" s="7" t="s">
        <v>226</v>
      </c>
      <c r="J76" s="7" t="s">
        <v>170</v>
      </c>
      <c r="K76" s="7" t="s">
        <v>139</v>
      </c>
      <c r="L76" s="7" t="s">
        <v>171</v>
      </c>
      <c r="M76" s="7" t="n">
        <v>0</v>
      </c>
      <c r="N76" s="7"/>
      <c r="O76" s="7"/>
      <c r="P76" s="7" t="s">
        <v>147</v>
      </c>
    </row>
    <row r="77" customFormat="false" ht="23.85" hidden="false" customHeight="false" outlineLevel="0" collapsed="false">
      <c r="A77" s="7" t="n">
        <v>7</v>
      </c>
      <c r="B77" s="21" t="n">
        <v>46355</v>
      </c>
      <c r="C77" s="7" t="s">
        <v>172</v>
      </c>
      <c r="D77" s="7" t="s">
        <v>80</v>
      </c>
      <c r="E77" s="14" t="s">
        <v>40</v>
      </c>
      <c r="F77" s="14" t="s">
        <v>173</v>
      </c>
      <c r="G77" s="7" t="n">
        <v>25</v>
      </c>
      <c r="H77" s="22" t="n">
        <v>11</v>
      </c>
      <c r="I77" s="7" t="s">
        <v>227</v>
      </c>
      <c r="J77" s="7" t="s">
        <v>175</v>
      </c>
      <c r="K77" s="7" t="s">
        <v>176</v>
      </c>
      <c r="L77" s="7" t="s">
        <v>146</v>
      </c>
      <c r="M77" s="7" t="n">
        <v>0</v>
      </c>
      <c r="N77" s="7"/>
      <c r="O77" s="7"/>
      <c r="P77" s="7" t="s">
        <v>147</v>
      </c>
    </row>
    <row r="78" customFormat="false" ht="23.85" hidden="false" customHeight="false" outlineLevel="0" collapsed="false">
      <c r="A78" s="7" t="n">
        <v>8</v>
      </c>
      <c r="B78" s="21" t="n">
        <v>46356</v>
      </c>
      <c r="C78" s="7" t="s">
        <v>135</v>
      </c>
      <c r="D78" s="7" t="s">
        <v>80</v>
      </c>
      <c r="E78" s="18" t="s">
        <v>42</v>
      </c>
      <c r="F78" s="18" t="s">
        <v>136</v>
      </c>
      <c r="G78" s="7" t="n">
        <v>60</v>
      </c>
      <c r="H78" s="22" t="n">
        <v>3</v>
      </c>
      <c r="I78" s="7" t="s">
        <v>228</v>
      </c>
      <c r="J78" s="7" t="s">
        <v>138</v>
      </c>
      <c r="K78" s="7" t="s">
        <v>139</v>
      </c>
      <c r="L78" s="7"/>
      <c r="M78" s="7" t="n">
        <v>0</v>
      </c>
      <c r="N78" s="7"/>
      <c r="O78" s="7"/>
      <c r="P78" s="7" t="s">
        <v>140</v>
      </c>
    </row>
    <row r="79" customFormat="false" ht="23.85" hidden="false" customHeight="false" outlineLevel="0" collapsed="false">
      <c r="A79" s="7" t="n">
        <v>8</v>
      </c>
      <c r="B79" s="21" t="n">
        <v>46356</v>
      </c>
      <c r="C79" s="7" t="s">
        <v>135</v>
      </c>
      <c r="D79" s="7" t="s">
        <v>80</v>
      </c>
      <c r="E79" s="24" t="s">
        <v>184</v>
      </c>
      <c r="F79" s="24" t="s">
        <v>229</v>
      </c>
      <c r="G79" s="7" t="n">
        <v>25</v>
      </c>
      <c r="H79" s="22" t="n">
        <v>4.2</v>
      </c>
      <c r="I79" s="7" t="s">
        <v>230</v>
      </c>
      <c r="J79" s="7" t="s">
        <v>231</v>
      </c>
      <c r="K79" s="7" t="s">
        <v>139</v>
      </c>
      <c r="L79" s="7" t="s">
        <v>146</v>
      </c>
      <c r="M79" s="7" t="n">
        <v>0</v>
      </c>
      <c r="N79" s="7"/>
      <c r="O79" s="7"/>
      <c r="P79" s="7" t="s">
        <v>147</v>
      </c>
    </row>
    <row r="80" customFormat="false" ht="35.05" hidden="false" customHeight="false" outlineLevel="0" collapsed="false">
      <c r="A80" s="7" t="n">
        <v>8</v>
      </c>
      <c r="B80" s="21" t="n">
        <v>46357</v>
      </c>
      <c r="C80" s="7" t="s">
        <v>141</v>
      </c>
      <c r="D80" s="7" t="s">
        <v>80</v>
      </c>
      <c r="E80" s="14" t="s">
        <v>40</v>
      </c>
      <c r="F80" s="14" t="s">
        <v>142</v>
      </c>
      <c r="G80" s="7" t="n">
        <v>70</v>
      </c>
      <c r="H80" s="22" t="n">
        <v>35</v>
      </c>
      <c r="I80" s="7" t="s">
        <v>232</v>
      </c>
      <c r="J80" s="7" t="s">
        <v>233</v>
      </c>
      <c r="K80" s="7" t="s">
        <v>145</v>
      </c>
      <c r="L80" s="7" t="s">
        <v>146</v>
      </c>
      <c r="M80" s="7" t="n">
        <v>25</v>
      </c>
      <c r="N80" s="7"/>
      <c r="O80" s="7"/>
      <c r="P80" s="7" t="s">
        <v>147</v>
      </c>
    </row>
    <row r="81" customFormat="false" ht="46.25" hidden="false" customHeight="false" outlineLevel="0" collapsed="false">
      <c r="A81" s="7" t="n">
        <v>8</v>
      </c>
      <c r="B81" s="21" t="n">
        <v>46357</v>
      </c>
      <c r="C81" s="7" t="s">
        <v>141</v>
      </c>
      <c r="D81" s="7" t="s">
        <v>80</v>
      </c>
      <c r="E81" s="23" t="s">
        <v>148</v>
      </c>
      <c r="F81" s="23" t="s">
        <v>149</v>
      </c>
      <c r="G81" s="7" t="n">
        <v>45</v>
      </c>
      <c r="H81" s="22"/>
      <c r="I81" s="7" t="s">
        <v>150</v>
      </c>
      <c r="J81" s="7" t="s">
        <v>151</v>
      </c>
      <c r="K81" s="7" t="s">
        <v>152</v>
      </c>
      <c r="L81" s="7"/>
      <c r="M81" s="7" t="n">
        <v>0</v>
      </c>
      <c r="N81" s="7"/>
      <c r="O81" s="7"/>
      <c r="P81" s="7" t="s">
        <v>153</v>
      </c>
    </row>
    <row r="82" customFormat="false" ht="23.85" hidden="false" customHeight="false" outlineLevel="0" collapsed="false">
      <c r="A82" s="7" t="n">
        <v>8</v>
      </c>
      <c r="B82" s="21" t="n">
        <v>46358</v>
      </c>
      <c r="C82" s="7" t="s">
        <v>154</v>
      </c>
      <c r="D82" s="7" t="s">
        <v>80</v>
      </c>
      <c r="E82" s="18" t="s">
        <v>42</v>
      </c>
      <c r="F82" s="18" t="s">
        <v>155</v>
      </c>
      <c r="G82" s="7" t="n">
        <v>60</v>
      </c>
      <c r="H82" s="22" t="n">
        <v>2.8</v>
      </c>
      <c r="I82" s="7" t="s">
        <v>234</v>
      </c>
      <c r="J82" s="7" t="s">
        <v>157</v>
      </c>
      <c r="K82" s="7" t="s">
        <v>152</v>
      </c>
      <c r="L82" s="7"/>
      <c r="M82" s="7" t="n">
        <v>29</v>
      </c>
      <c r="N82" s="7"/>
      <c r="O82" s="7"/>
      <c r="P82" s="7" t="s">
        <v>140</v>
      </c>
    </row>
    <row r="83" customFormat="false" ht="23.85" hidden="false" customHeight="false" outlineLevel="0" collapsed="false">
      <c r="A83" s="7" t="n">
        <v>8</v>
      </c>
      <c r="B83" s="21" t="n">
        <v>46359</v>
      </c>
      <c r="C83" s="7" t="s">
        <v>158</v>
      </c>
      <c r="D83" s="7" t="s">
        <v>80</v>
      </c>
      <c r="E83" s="14" t="s">
        <v>40</v>
      </c>
      <c r="F83" s="14" t="s">
        <v>159</v>
      </c>
      <c r="G83" s="7" t="n">
        <v>50</v>
      </c>
      <c r="H83" s="22" t="n">
        <v>25</v>
      </c>
      <c r="I83" s="7" t="s">
        <v>197</v>
      </c>
      <c r="J83" s="7" t="s">
        <v>161</v>
      </c>
      <c r="K83" s="7" t="s">
        <v>139</v>
      </c>
      <c r="L83" s="7" t="s">
        <v>146</v>
      </c>
      <c r="M83" s="7" t="n">
        <v>0</v>
      </c>
      <c r="N83" s="7"/>
      <c r="O83" s="7"/>
      <c r="P83" s="7" t="s">
        <v>147</v>
      </c>
    </row>
    <row r="84" customFormat="false" ht="23.85" hidden="false" customHeight="false" outlineLevel="0" collapsed="false">
      <c r="A84" s="7" t="n">
        <v>8</v>
      </c>
      <c r="B84" s="21" t="n">
        <v>46359</v>
      </c>
      <c r="C84" s="7" t="s">
        <v>158</v>
      </c>
      <c r="D84" s="7" t="s">
        <v>80</v>
      </c>
      <c r="E84" s="24" t="s">
        <v>184</v>
      </c>
      <c r="F84" s="24" t="s">
        <v>229</v>
      </c>
      <c r="G84" s="7" t="n">
        <v>30</v>
      </c>
      <c r="H84" s="22" t="n">
        <v>5</v>
      </c>
      <c r="I84" s="7" t="s">
        <v>235</v>
      </c>
      <c r="J84" s="7" t="s">
        <v>231</v>
      </c>
      <c r="K84" s="7" t="s">
        <v>139</v>
      </c>
      <c r="L84" s="7" t="s">
        <v>146</v>
      </c>
      <c r="M84" s="7" t="n">
        <v>0</v>
      </c>
      <c r="N84" s="7"/>
      <c r="O84" s="7"/>
      <c r="P84" s="7" t="s">
        <v>153</v>
      </c>
    </row>
    <row r="85" customFormat="false" ht="23.85" hidden="false" customHeight="false" outlineLevel="0" collapsed="false">
      <c r="A85" s="7" t="n">
        <v>8</v>
      </c>
      <c r="B85" s="21" t="n">
        <v>46359</v>
      </c>
      <c r="C85" s="7" t="s">
        <v>158</v>
      </c>
      <c r="D85" s="7" t="s">
        <v>80</v>
      </c>
      <c r="E85" s="23" t="s">
        <v>148</v>
      </c>
      <c r="F85" s="23" t="s">
        <v>162</v>
      </c>
      <c r="G85" s="7" t="n">
        <v>40</v>
      </c>
      <c r="H85" s="22"/>
      <c r="I85" s="7" t="s">
        <v>163</v>
      </c>
      <c r="J85" s="7" t="s">
        <v>151</v>
      </c>
      <c r="K85" s="7" t="s">
        <v>152</v>
      </c>
      <c r="L85" s="7"/>
      <c r="M85" s="7" t="n">
        <v>0</v>
      </c>
      <c r="N85" s="7"/>
      <c r="O85" s="7"/>
      <c r="P85" s="7" t="s">
        <v>213</v>
      </c>
    </row>
    <row r="86" customFormat="false" ht="23.85" hidden="false" customHeight="false" outlineLevel="0" collapsed="false">
      <c r="A86" s="7" t="n">
        <v>8</v>
      </c>
      <c r="B86" s="21" t="n">
        <v>46360</v>
      </c>
      <c r="C86" s="7" t="s">
        <v>164</v>
      </c>
      <c r="D86" s="7" t="s">
        <v>80</v>
      </c>
      <c r="E86" s="18" t="s">
        <v>42</v>
      </c>
      <c r="F86" s="18" t="s">
        <v>165</v>
      </c>
      <c r="G86" s="7" t="n">
        <v>60</v>
      </c>
      <c r="H86" s="22" t="n">
        <v>3</v>
      </c>
      <c r="I86" s="7" t="s">
        <v>236</v>
      </c>
      <c r="J86" s="7" t="s">
        <v>138</v>
      </c>
      <c r="K86" s="7" t="s">
        <v>139</v>
      </c>
      <c r="L86" s="7"/>
      <c r="M86" s="7" t="n">
        <v>0</v>
      </c>
      <c r="N86" s="7"/>
      <c r="O86" s="7"/>
      <c r="P86" s="7" t="s">
        <v>140</v>
      </c>
    </row>
    <row r="87" customFormat="false" ht="35.05" hidden="false" customHeight="false" outlineLevel="0" collapsed="false">
      <c r="A87" s="7" t="n">
        <v>8</v>
      </c>
      <c r="B87" s="21" t="n">
        <v>46361</v>
      </c>
      <c r="C87" s="7" t="s">
        <v>167</v>
      </c>
      <c r="D87" s="7" t="s">
        <v>80</v>
      </c>
      <c r="E87" s="14" t="s">
        <v>40</v>
      </c>
      <c r="F87" s="14" t="s">
        <v>168</v>
      </c>
      <c r="G87" s="7" t="n">
        <v>165</v>
      </c>
      <c r="H87" s="22" t="n">
        <v>82</v>
      </c>
      <c r="I87" s="7" t="s">
        <v>237</v>
      </c>
      <c r="J87" s="7" t="s">
        <v>170</v>
      </c>
      <c r="K87" s="7" t="s">
        <v>139</v>
      </c>
      <c r="L87" s="7" t="s">
        <v>171</v>
      </c>
      <c r="M87" s="7" t="n">
        <v>0</v>
      </c>
      <c r="N87" s="7"/>
      <c r="O87" s="7"/>
      <c r="P87" s="7" t="s">
        <v>147</v>
      </c>
    </row>
    <row r="88" customFormat="false" ht="23.85" hidden="false" customHeight="false" outlineLevel="0" collapsed="false">
      <c r="A88" s="7" t="n">
        <v>8</v>
      </c>
      <c r="B88" s="21" t="n">
        <v>46362</v>
      </c>
      <c r="C88" s="7" t="s">
        <v>172</v>
      </c>
      <c r="D88" s="7" t="s">
        <v>80</v>
      </c>
      <c r="E88" s="14" t="s">
        <v>40</v>
      </c>
      <c r="F88" s="14" t="s">
        <v>173</v>
      </c>
      <c r="G88" s="7" t="n">
        <v>35</v>
      </c>
      <c r="H88" s="22" t="n">
        <v>16</v>
      </c>
      <c r="I88" s="7" t="s">
        <v>238</v>
      </c>
      <c r="J88" s="7" t="s">
        <v>175</v>
      </c>
      <c r="K88" s="7" t="s">
        <v>176</v>
      </c>
      <c r="L88" s="7" t="s">
        <v>146</v>
      </c>
      <c r="M88" s="7" t="n">
        <v>0</v>
      </c>
      <c r="N88" s="7"/>
      <c r="O88" s="7"/>
      <c r="P88" s="7" t="s">
        <v>147</v>
      </c>
    </row>
    <row r="89" customFormat="false" ht="23.85" hidden="false" customHeight="false" outlineLevel="0" collapsed="false">
      <c r="A89" s="7" t="n">
        <v>8</v>
      </c>
      <c r="B89" s="21" t="n">
        <v>46362</v>
      </c>
      <c r="C89" s="7" t="s">
        <v>172</v>
      </c>
      <c r="D89" s="7" t="s">
        <v>80</v>
      </c>
      <c r="E89" s="24" t="s">
        <v>184</v>
      </c>
      <c r="F89" s="24" t="s">
        <v>229</v>
      </c>
      <c r="G89" s="7" t="n">
        <v>30</v>
      </c>
      <c r="H89" s="22" t="n">
        <v>5</v>
      </c>
      <c r="I89" s="7" t="s">
        <v>235</v>
      </c>
      <c r="J89" s="7" t="s">
        <v>231</v>
      </c>
      <c r="K89" s="7" t="s">
        <v>139</v>
      </c>
      <c r="L89" s="7" t="s">
        <v>146</v>
      </c>
      <c r="M89" s="7" t="n">
        <v>0</v>
      </c>
      <c r="N89" s="7"/>
      <c r="O89" s="7"/>
      <c r="P89" s="7" t="s">
        <v>147</v>
      </c>
    </row>
    <row r="90" customFormat="false" ht="23.85" hidden="false" customHeight="false" outlineLevel="0" collapsed="false">
      <c r="A90" s="7" t="n">
        <v>9</v>
      </c>
      <c r="B90" s="21" t="n">
        <v>46363</v>
      </c>
      <c r="C90" s="7" t="s">
        <v>135</v>
      </c>
      <c r="D90" s="7" t="s">
        <v>80</v>
      </c>
      <c r="E90" s="18" t="s">
        <v>42</v>
      </c>
      <c r="F90" s="18" t="s">
        <v>136</v>
      </c>
      <c r="G90" s="7" t="n">
        <v>60</v>
      </c>
      <c r="H90" s="22" t="n">
        <v>3</v>
      </c>
      <c r="I90" s="7" t="s">
        <v>228</v>
      </c>
      <c r="J90" s="7" t="s">
        <v>138</v>
      </c>
      <c r="K90" s="7" t="s">
        <v>139</v>
      </c>
      <c r="L90" s="7"/>
      <c r="M90" s="7" t="n">
        <v>0</v>
      </c>
      <c r="N90" s="7"/>
      <c r="O90" s="7"/>
      <c r="P90" s="7" t="s">
        <v>140</v>
      </c>
    </row>
    <row r="91" customFormat="false" ht="23.85" hidden="false" customHeight="false" outlineLevel="0" collapsed="false">
      <c r="A91" s="7" t="n">
        <v>9</v>
      </c>
      <c r="B91" s="21" t="n">
        <v>46363</v>
      </c>
      <c r="C91" s="7" t="s">
        <v>135</v>
      </c>
      <c r="D91" s="7" t="s">
        <v>80</v>
      </c>
      <c r="E91" s="24" t="s">
        <v>184</v>
      </c>
      <c r="F91" s="24" t="s">
        <v>229</v>
      </c>
      <c r="G91" s="7" t="n">
        <v>30</v>
      </c>
      <c r="H91" s="22" t="n">
        <v>5</v>
      </c>
      <c r="I91" s="7" t="s">
        <v>235</v>
      </c>
      <c r="J91" s="7" t="s">
        <v>231</v>
      </c>
      <c r="K91" s="7" t="s">
        <v>139</v>
      </c>
      <c r="L91" s="7" t="s">
        <v>146</v>
      </c>
      <c r="M91" s="7" t="n">
        <v>0</v>
      </c>
      <c r="N91" s="7"/>
      <c r="O91" s="7"/>
      <c r="P91" s="7" t="s">
        <v>147</v>
      </c>
    </row>
    <row r="92" customFormat="false" ht="35.05" hidden="false" customHeight="false" outlineLevel="0" collapsed="false">
      <c r="A92" s="7" t="n">
        <v>9</v>
      </c>
      <c r="B92" s="21" t="n">
        <v>46364</v>
      </c>
      <c r="C92" s="7" t="s">
        <v>141</v>
      </c>
      <c r="D92" s="7" t="s">
        <v>80</v>
      </c>
      <c r="E92" s="14" t="s">
        <v>40</v>
      </c>
      <c r="F92" s="14" t="s">
        <v>142</v>
      </c>
      <c r="G92" s="7" t="n">
        <v>75</v>
      </c>
      <c r="H92" s="22" t="n">
        <v>38</v>
      </c>
      <c r="I92" s="7" t="s">
        <v>239</v>
      </c>
      <c r="J92" s="7" t="s">
        <v>233</v>
      </c>
      <c r="K92" s="7" t="s">
        <v>145</v>
      </c>
      <c r="L92" s="7" t="s">
        <v>240</v>
      </c>
      <c r="M92" s="7" t="n">
        <v>30</v>
      </c>
      <c r="N92" s="7"/>
      <c r="O92" s="7"/>
      <c r="P92" s="7" t="s">
        <v>147</v>
      </c>
    </row>
    <row r="93" customFormat="false" ht="46.25" hidden="false" customHeight="false" outlineLevel="0" collapsed="false">
      <c r="A93" s="7" t="n">
        <v>9</v>
      </c>
      <c r="B93" s="21" t="n">
        <v>46364</v>
      </c>
      <c r="C93" s="7" t="s">
        <v>141</v>
      </c>
      <c r="D93" s="7" t="s">
        <v>80</v>
      </c>
      <c r="E93" s="23" t="s">
        <v>148</v>
      </c>
      <c r="F93" s="23" t="s">
        <v>149</v>
      </c>
      <c r="G93" s="7" t="n">
        <v>45</v>
      </c>
      <c r="H93" s="22"/>
      <c r="I93" s="7" t="s">
        <v>150</v>
      </c>
      <c r="J93" s="7" t="s">
        <v>151</v>
      </c>
      <c r="K93" s="7" t="s">
        <v>152</v>
      </c>
      <c r="L93" s="7"/>
      <c r="M93" s="7" t="n">
        <v>0</v>
      </c>
      <c r="N93" s="7"/>
      <c r="O93" s="7"/>
      <c r="P93" s="7" t="s">
        <v>153</v>
      </c>
    </row>
    <row r="94" customFormat="false" ht="23.85" hidden="false" customHeight="false" outlineLevel="0" collapsed="false">
      <c r="A94" s="7" t="n">
        <v>9</v>
      </c>
      <c r="B94" s="21" t="n">
        <v>46365</v>
      </c>
      <c r="C94" s="7" t="s">
        <v>154</v>
      </c>
      <c r="D94" s="7" t="s">
        <v>80</v>
      </c>
      <c r="E94" s="18" t="s">
        <v>42</v>
      </c>
      <c r="F94" s="18" t="s">
        <v>155</v>
      </c>
      <c r="G94" s="7" t="n">
        <v>60</v>
      </c>
      <c r="H94" s="22" t="n">
        <v>2.8</v>
      </c>
      <c r="I94" s="7" t="s">
        <v>234</v>
      </c>
      <c r="J94" s="7" t="s">
        <v>157</v>
      </c>
      <c r="K94" s="7" t="s">
        <v>152</v>
      </c>
      <c r="L94" s="7"/>
      <c r="M94" s="7" t="n">
        <v>29</v>
      </c>
      <c r="N94" s="7"/>
      <c r="O94" s="7"/>
      <c r="P94" s="7" t="s">
        <v>140</v>
      </c>
    </row>
    <row r="95" customFormat="false" ht="23.85" hidden="false" customHeight="false" outlineLevel="0" collapsed="false">
      <c r="A95" s="7" t="n">
        <v>9</v>
      </c>
      <c r="B95" s="21" t="n">
        <v>46366</v>
      </c>
      <c r="C95" s="7" t="s">
        <v>158</v>
      </c>
      <c r="D95" s="7" t="s">
        <v>80</v>
      </c>
      <c r="E95" s="14" t="s">
        <v>40</v>
      </c>
      <c r="F95" s="14" t="s">
        <v>159</v>
      </c>
      <c r="G95" s="7" t="n">
        <v>50</v>
      </c>
      <c r="H95" s="22" t="n">
        <v>25</v>
      </c>
      <c r="I95" s="7" t="s">
        <v>197</v>
      </c>
      <c r="J95" s="7" t="s">
        <v>161</v>
      </c>
      <c r="K95" s="7" t="s">
        <v>139</v>
      </c>
      <c r="L95" s="7" t="s">
        <v>146</v>
      </c>
      <c r="M95" s="7" t="n">
        <v>0</v>
      </c>
      <c r="N95" s="7"/>
      <c r="O95" s="7"/>
      <c r="P95" s="7" t="s">
        <v>147</v>
      </c>
    </row>
    <row r="96" customFormat="false" ht="23.85" hidden="false" customHeight="false" outlineLevel="0" collapsed="false">
      <c r="A96" s="7" t="n">
        <v>9</v>
      </c>
      <c r="B96" s="21" t="n">
        <v>46366</v>
      </c>
      <c r="C96" s="7" t="s">
        <v>158</v>
      </c>
      <c r="D96" s="7" t="s">
        <v>80</v>
      </c>
      <c r="E96" s="24" t="s">
        <v>184</v>
      </c>
      <c r="F96" s="24" t="s">
        <v>229</v>
      </c>
      <c r="G96" s="7" t="n">
        <v>30</v>
      </c>
      <c r="H96" s="22" t="n">
        <v>5</v>
      </c>
      <c r="I96" s="7" t="s">
        <v>235</v>
      </c>
      <c r="J96" s="7" t="s">
        <v>231</v>
      </c>
      <c r="K96" s="7" t="s">
        <v>139</v>
      </c>
      <c r="L96" s="7" t="s">
        <v>146</v>
      </c>
      <c r="M96" s="7" t="n">
        <v>0</v>
      </c>
      <c r="N96" s="7"/>
      <c r="O96" s="7"/>
      <c r="P96" s="7" t="s">
        <v>153</v>
      </c>
    </row>
    <row r="97" customFormat="false" ht="23.85" hidden="false" customHeight="false" outlineLevel="0" collapsed="false">
      <c r="A97" s="7" t="n">
        <v>9</v>
      </c>
      <c r="B97" s="21" t="n">
        <v>46366</v>
      </c>
      <c r="C97" s="7" t="s">
        <v>158</v>
      </c>
      <c r="D97" s="7" t="s">
        <v>80</v>
      </c>
      <c r="E97" s="23" t="s">
        <v>148</v>
      </c>
      <c r="F97" s="23" t="s">
        <v>162</v>
      </c>
      <c r="G97" s="7" t="n">
        <v>40</v>
      </c>
      <c r="H97" s="22"/>
      <c r="I97" s="7" t="s">
        <v>163</v>
      </c>
      <c r="J97" s="7" t="s">
        <v>151</v>
      </c>
      <c r="K97" s="7" t="s">
        <v>152</v>
      </c>
      <c r="L97" s="7"/>
      <c r="M97" s="7" t="n">
        <v>0</v>
      </c>
      <c r="N97" s="7"/>
      <c r="O97" s="7"/>
      <c r="P97" s="7" t="s">
        <v>213</v>
      </c>
    </row>
    <row r="98" customFormat="false" ht="23.85" hidden="false" customHeight="false" outlineLevel="0" collapsed="false">
      <c r="A98" s="7" t="n">
        <v>9</v>
      </c>
      <c r="B98" s="21" t="n">
        <v>46367</v>
      </c>
      <c r="C98" s="7" t="s">
        <v>164</v>
      </c>
      <c r="D98" s="7" t="s">
        <v>80</v>
      </c>
      <c r="E98" s="18" t="s">
        <v>42</v>
      </c>
      <c r="F98" s="18" t="s">
        <v>165</v>
      </c>
      <c r="G98" s="7" t="n">
        <v>60</v>
      </c>
      <c r="H98" s="22" t="n">
        <v>3</v>
      </c>
      <c r="I98" s="7" t="s">
        <v>236</v>
      </c>
      <c r="J98" s="7" t="s">
        <v>138</v>
      </c>
      <c r="K98" s="7" t="s">
        <v>139</v>
      </c>
      <c r="L98" s="7"/>
      <c r="M98" s="7" t="n">
        <v>0</v>
      </c>
      <c r="N98" s="7"/>
      <c r="O98" s="7"/>
      <c r="P98" s="7" t="s">
        <v>140</v>
      </c>
    </row>
    <row r="99" customFormat="false" ht="35.05" hidden="false" customHeight="false" outlineLevel="0" collapsed="false">
      <c r="A99" s="7" t="n">
        <v>9</v>
      </c>
      <c r="B99" s="21" t="n">
        <v>46368</v>
      </c>
      <c r="C99" s="7" t="s">
        <v>167</v>
      </c>
      <c r="D99" s="7" t="s">
        <v>80</v>
      </c>
      <c r="E99" s="14" t="s">
        <v>40</v>
      </c>
      <c r="F99" s="14" t="s">
        <v>168</v>
      </c>
      <c r="G99" s="7" t="n">
        <v>180</v>
      </c>
      <c r="H99" s="22" t="n">
        <v>90</v>
      </c>
      <c r="I99" s="7" t="s">
        <v>241</v>
      </c>
      <c r="J99" s="7" t="s">
        <v>170</v>
      </c>
      <c r="K99" s="7" t="s">
        <v>139</v>
      </c>
      <c r="L99" s="7" t="s">
        <v>242</v>
      </c>
      <c r="M99" s="7" t="n">
        <v>0</v>
      </c>
      <c r="N99" s="7"/>
      <c r="O99" s="7"/>
      <c r="P99" s="7" t="s">
        <v>147</v>
      </c>
    </row>
    <row r="100" customFormat="false" ht="35.05" hidden="false" customHeight="false" outlineLevel="0" collapsed="false">
      <c r="A100" s="7" t="n">
        <v>9</v>
      </c>
      <c r="B100" s="21" t="n">
        <v>46368</v>
      </c>
      <c r="C100" s="7" t="s">
        <v>167</v>
      </c>
      <c r="D100" s="7" t="s">
        <v>80</v>
      </c>
      <c r="E100" s="24" t="s">
        <v>184</v>
      </c>
      <c r="F100" s="24" t="s">
        <v>243</v>
      </c>
      <c r="G100" s="7" t="n">
        <v>10</v>
      </c>
      <c r="H100" s="22" t="n">
        <v>1.7</v>
      </c>
      <c r="I100" s="7" t="s">
        <v>244</v>
      </c>
      <c r="J100" s="7" t="s">
        <v>231</v>
      </c>
      <c r="K100" s="7" t="s">
        <v>245</v>
      </c>
      <c r="L100" s="7" t="s">
        <v>146</v>
      </c>
      <c r="M100" s="7" t="n">
        <v>0</v>
      </c>
      <c r="N100" s="7"/>
      <c r="O100" s="7"/>
      <c r="P100" s="7" t="s">
        <v>246</v>
      </c>
    </row>
    <row r="101" customFormat="false" ht="23.85" hidden="false" customHeight="false" outlineLevel="0" collapsed="false">
      <c r="A101" s="7" t="n">
        <v>9</v>
      </c>
      <c r="B101" s="21" t="n">
        <v>46369</v>
      </c>
      <c r="C101" s="7" t="s">
        <v>172</v>
      </c>
      <c r="D101" s="7" t="s">
        <v>80</v>
      </c>
      <c r="E101" s="14" t="s">
        <v>40</v>
      </c>
      <c r="F101" s="14" t="s">
        <v>173</v>
      </c>
      <c r="G101" s="7" t="n">
        <v>40</v>
      </c>
      <c r="H101" s="22" t="n">
        <v>18</v>
      </c>
      <c r="I101" s="7" t="s">
        <v>174</v>
      </c>
      <c r="J101" s="7" t="s">
        <v>175</v>
      </c>
      <c r="K101" s="7" t="s">
        <v>176</v>
      </c>
      <c r="L101" s="7" t="s">
        <v>146</v>
      </c>
      <c r="M101" s="7" t="n">
        <v>0</v>
      </c>
      <c r="N101" s="7"/>
      <c r="O101" s="7"/>
      <c r="P101" s="7" t="s">
        <v>147</v>
      </c>
    </row>
    <row r="102" customFormat="false" ht="23.85" hidden="false" customHeight="false" outlineLevel="0" collapsed="false">
      <c r="A102" s="7" t="n">
        <v>9</v>
      </c>
      <c r="B102" s="21" t="n">
        <v>46369</v>
      </c>
      <c r="C102" s="7" t="s">
        <v>172</v>
      </c>
      <c r="D102" s="7" t="s">
        <v>80</v>
      </c>
      <c r="E102" s="24" t="s">
        <v>184</v>
      </c>
      <c r="F102" s="24" t="s">
        <v>247</v>
      </c>
      <c r="G102" s="7" t="n">
        <v>40</v>
      </c>
      <c r="H102" s="22" t="n">
        <v>6.7</v>
      </c>
      <c r="I102" s="7" t="s">
        <v>248</v>
      </c>
      <c r="J102" s="7" t="s">
        <v>231</v>
      </c>
      <c r="K102" s="7" t="s">
        <v>139</v>
      </c>
      <c r="L102" s="7" t="s">
        <v>249</v>
      </c>
      <c r="M102" s="7" t="n">
        <v>0</v>
      </c>
      <c r="N102" s="7"/>
      <c r="O102" s="7"/>
      <c r="P102" s="7" t="s">
        <v>147</v>
      </c>
    </row>
    <row r="103" customFormat="false" ht="23.85" hidden="false" customHeight="false" outlineLevel="0" collapsed="false">
      <c r="A103" s="7" t="n">
        <v>10</v>
      </c>
      <c r="B103" s="21" t="n">
        <v>46370</v>
      </c>
      <c r="C103" s="7" t="s">
        <v>135</v>
      </c>
      <c r="D103" s="7" t="s">
        <v>80</v>
      </c>
      <c r="E103" s="18" t="s">
        <v>42</v>
      </c>
      <c r="F103" s="18" t="s">
        <v>136</v>
      </c>
      <c r="G103" s="7" t="n">
        <v>45</v>
      </c>
      <c r="H103" s="22" t="n">
        <v>2.2</v>
      </c>
      <c r="I103" s="7" t="s">
        <v>177</v>
      </c>
      <c r="J103" s="7" t="s">
        <v>138</v>
      </c>
      <c r="K103" s="7" t="s">
        <v>139</v>
      </c>
      <c r="L103" s="7"/>
      <c r="M103" s="7" t="n">
        <v>0</v>
      </c>
      <c r="N103" s="7"/>
      <c r="O103" s="7"/>
      <c r="P103" s="7" t="s">
        <v>140</v>
      </c>
    </row>
    <row r="104" customFormat="false" ht="35.05" hidden="false" customHeight="false" outlineLevel="0" collapsed="false">
      <c r="A104" s="7" t="n">
        <v>10</v>
      </c>
      <c r="B104" s="21" t="n">
        <v>46370</v>
      </c>
      <c r="C104" s="7" t="s">
        <v>135</v>
      </c>
      <c r="D104" s="7" t="s">
        <v>80</v>
      </c>
      <c r="E104" s="23" t="s">
        <v>148</v>
      </c>
      <c r="F104" s="23" t="s">
        <v>149</v>
      </c>
      <c r="G104" s="7" t="n">
        <v>30</v>
      </c>
      <c r="H104" s="22"/>
      <c r="I104" s="7" t="s">
        <v>178</v>
      </c>
      <c r="J104" s="7" t="s">
        <v>151</v>
      </c>
      <c r="K104" s="7" t="s">
        <v>152</v>
      </c>
      <c r="L104" s="7"/>
      <c r="M104" s="7" t="n">
        <v>0</v>
      </c>
      <c r="N104" s="7"/>
      <c r="O104" s="7"/>
      <c r="P104" s="7" t="s">
        <v>153</v>
      </c>
    </row>
    <row r="105" customFormat="false" ht="23.85" hidden="false" customHeight="false" outlineLevel="0" collapsed="false">
      <c r="A105" s="7" t="n">
        <v>10</v>
      </c>
      <c r="B105" s="21" t="n">
        <v>46371</v>
      </c>
      <c r="C105" s="7" t="s">
        <v>141</v>
      </c>
      <c r="D105" s="7" t="s">
        <v>80</v>
      </c>
      <c r="E105" s="14" t="s">
        <v>40</v>
      </c>
      <c r="F105" s="14" t="s">
        <v>159</v>
      </c>
      <c r="G105" s="7" t="n">
        <v>45</v>
      </c>
      <c r="H105" s="22" t="n">
        <v>22</v>
      </c>
      <c r="I105" s="7" t="s">
        <v>191</v>
      </c>
      <c r="J105" s="7" t="s">
        <v>161</v>
      </c>
      <c r="K105" s="7" t="s">
        <v>139</v>
      </c>
      <c r="L105" s="7" t="s">
        <v>146</v>
      </c>
      <c r="M105" s="7" t="n">
        <v>0</v>
      </c>
      <c r="N105" s="7"/>
      <c r="O105" s="7"/>
      <c r="P105" s="7" t="s">
        <v>147</v>
      </c>
    </row>
    <row r="106" customFormat="false" ht="23.85" hidden="false" customHeight="false" outlineLevel="0" collapsed="false">
      <c r="A106" s="7" t="n">
        <v>10</v>
      </c>
      <c r="B106" s="21" t="n">
        <v>46371</v>
      </c>
      <c r="C106" s="7" t="s">
        <v>141</v>
      </c>
      <c r="D106" s="7" t="s">
        <v>80</v>
      </c>
      <c r="E106" s="24" t="s">
        <v>184</v>
      </c>
      <c r="F106" s="24" t="s">
        <v>229</v>
      </c>
      <c r="G106" s="7" t="n">
        <v>30</v>
      </c>
      <c r="H106" s="22" t="n">
        <v>5</v>
      </c>
      <c r="I106" s="7" t="s">
        <v>235</v>
      </c>
      <c r="J106" s="7" t="s">
        <v>231</v>
      </c>
      <c r="K106" s="7" t="s">
        <v>139</v>
      </c>
      <c r="L106" s="7" t="s">
        <v>146</v>
      </c>
      <c r="M106" s="7" t="n">
        <v>0</v>
      </c>
      <c r="N106" s="7"/>
      <c r="O106" s="7"/>
      <c r="P106" s="7" t="s">
        <v>153</v>
      </c>
    </row>
    <row r="107" customFormat="false" ht="23.85" hidden="false" customHeight="false" outlineLevel="0" collapsed="false">
      <c r="A107" s="7" t="n">
        <v>10</v>
      </c>
      <c r="B107" s="21" t="n">
        <v>46372</v>
      </c>
      <c r="C107" s="7" t="s">
        <v>154</v>
      </c>
      <c r="D107" s="7" t="s">
        <v>80</v>
      </c>
      <c r="E107" s="18" t="s">
        <v>42</v>
      </c>
      <c r="F107" s="18" t="s">
        <v>155</v>
      </c>
      <c r="G107" s="7" t="n">
        <v>45</v>
      </c>
      <c r="H107" s="22" t="n">
        <v>2.1</v>
      </c>
      <c r="I107" s="7" t="s">
        <v>250</v>
      </c>
      <c r="J107" s="7" t="s">
        <v>157</v>
      </c>
      <c r="K107" s="7" t="s">
        <v>152</v>
      </c>
      <c r="L107" s="7"/>
      <c r="M107" s="7" t="n">
        <v>19</v>
      </c>
      <c r="N107" s="7"/>
      <c r="O107" s="7"/>
      <c r="P107" s="7" t="s">
        <v>140</v>
      </c>
    </row>
    <row r="108" customFormat="false" ht="23.85" hidden="false" customHeight="false" outlineLevel="0" collapsed="false">
      <c r="A108" s="7" t="n">
        <v>10</v>
      </c>
      <c r="B108" s="21" t="n">
        <v>46373</v>
      </c>
      <c r="C108" s="7" t="s">
        <v>158</v>
      </c>
      <c r="D108" s="7" t="s">
        <v>80</v>
      </c>
      <c r="E108" s="14" t="s">
        <v>40</v>
      </c>
      <c r="F108" s="14" t="s">
        <v>173</v>
      </c>
      <c r="G108" s="7" t="n">
        <v>45</v>
      </c>
      <c r="H108" s="22" t="n">
        <v>20</v>
      </c>
      <c r="I108" s="7" t="s">
        <v>251</v>
      </c>
      <c r="J108" s="7" t="s">
        <v>175</v>
      </c>
      <c r="K108" s="7" t="s">
        <v>176</v>
      </c>
      <c r="L108" s="7" t="s">
        <v>146</v>
      </c>
      <c r="M108" s="7" t="n">
        <v>0</v>
      </c>
      <c r="N108" s="7"/>
      <c r="O108" s="7"/>
      <c r="P108" s="7" t="s">
        <v>147</v>
      </c>
    </row>
    <row r="109" customFormat="false" ht="23.85" hidden="false" customHeight="false" outlineLevel="0" collapsed="false">
      <c r="A109" s="7" t="n">
        <v>10</v>
      </c>
      <c r="B109" s="21" t="n">
        <v>46373</v>
      </c>
      <c r="C109" s="7" t="s">
        <v>158</v>
      </c>
      <c r="D109" s="7" t="s">
        <v>80</v>
      </c>
      <c r="E109" s="24" t="s">
        <v>184</v>
      </c>
      <c r="F109" s="24" t="s">
        <v>229</v>
      </c>
      <c r="G109" s="7" t="n">
        <v>25</v>
      </c>
      <c r="H109" s="22" t="n">
        <v>4.2</v>
      </c>
      <c r="I109" s="7" t="s">
        <v>252</v>
      </c>
      <c r="J109" s="7" t="s">
        <v>231</v>
      </c>
      <c r="K109" s="7" t="s">
        <v>139</v>
      </c>
      <c r="L109" s="7" t="s">
        <v>146</v>
      </c>
      <c r="M109" s="7" t="n">
        <v>0</v>
      </c>
      <c r="N109" s="7"/>
      <c r="O109" s="7"/>
      <c r="P109" s="7" t="s">
        <v>153</v>
      </c>
    </row>
    <row r="110" customFormat="false" ht="23.85" hidden="false" customHeight="false" outlineLevel="0" collapsed="false">
      <c r="A110" s="7" t="n">
        <v>10</v>
      </c>
      <c r="B110" s="21" t="n">
        <v>46373</v>
      </c>
      <c r="C110" s="7" t="s">
        <v>158</v>
      </c>
      <c r="D110" s="7" t="s">
        <v>80</v>
      </c>
      <c r="E110" s="23" t="s">
        <v>148</v>
      </c>
      <c r="F110" s="23" t="s">
        <v>162</v>
      </c>
      <c r="G110" s="7" t="n">
        <v>30</v>
      </c>
      <c r="H110" s="22"/>
      <c r="I110" s="7" t="s">
        <v>163</v>
      </c>
      <c r="J110" s="7" t="s">
        <v>151</v>
      </c>
      <c r="K110" s="7" t="s">
        <v>152</v>
      </c>
      <c r="L110" s="7"/>
      <c r="M110" s="7" t="n">
        <v>0</v>
      </c>
      <c r="N110" s="7"/>
      <c r="O110" s="7"/>
      <c r="P110" s="7" t="s">
        <v>213</v>
      </c>
    </row>
    <row r="111" customFormat="false" ht="23.85" hidden="false" customHeight="false" outlineLevel="0" collapsed="false">
      <c r="A111" s="7" t="n">
        <v>10</v>
      </c>
      <c r="B111" s="21" t="n">
        <v>46374</v>
      </c>
      <c r="C111" s="7" t="s">
        <v>164</v>
      </c>
      <c r="D111" s="7" t="s">
        <v>80</v>
      </c>
      <c r="E111" s="18" t="s">
        <v>42</v>
      </c>
      <c r="F111" s="18" t="s">
        <v>214</v>
      </c>
      <c r="G111" s="7" t="n">
        <v>40</v>
      </c>
      <c r="H111" s="22" t="n">
        <v>1.8</v>
      </c>
      <c r="I111" s="7" t="s">
        <v>215</v>
      </c>
      <c r="J111" s="7" t="s">
        <v>216</v>
      </c>
      <c r="K111" s="7" t="s">
        <v>217</v>
      </c>
      <c r="L111" s="7"/>
      <c r="M111" s="7" t="n">
        <v>0</v>
      </c>
      <c r="N111" s="7"/>
      <c r="O111" s="7"/>
      <c r="P111" s="7" t="s">
        <v>140</v>
      </c>
    </row>
    <row r="112" customFormat="false" ht="35.05" hidden="false" customHeight="false" outlineLevel="0" collapsed="false">
      <c r="A112" s="7" t="n">
        <v>10</v>
      </c>
      <c r="B112" s="21" t="n">
        <v>46375</v>
      </c>
      <c r="C112" s="7" t="s">
        <v>167</v>
      </c>
      <c r="D112" s="7" t="s">
        <v>80</v>
      </c>
      <c r="E112" s="14" t="s">
        <v>40</v>
      </c>
      <c r="F112" s="14" t="s">
        <v>168</v>
      </c>
      <c r="G112" s="7" t="n">
        <v>120</v>
      </c>
      <c r="H112" s="22" t="n">
        <v>60</v>
      </c>
      <c r="I112" s="7" t="s">
        <v>253</v>
      </c>
      <c r="J112" s="7" t="s">
        <v>170</v>
      </c>
      <c r="K112" s="7" t="s">
        <v>139</v>
      </c>
      <c r="L112" s="7" t="s">
        <v>242</v>
      </c>
      <c r="M112" s="7" t="n">
        <v>0</v>
      </c>
      <c r="N112" s="7"/>
      <c r="O112" s="7"/>
      <c r="P112" s="7" t="s">
        <v>147</v>
      </c>
    </row>
    <row r="113" customFormat="false" ht="23.85" hidden="false" customHeight="false" outlineLevel="0" collapsed="false">
      <c r="A113" s="7" t="n">
        <v>10</v>
      </c>
      <c r="B113" s="21" t="n">
        <v>46376</v>
      </c>
      <c r="C113" s="7" t="s">
        <v>172</v>
      </c>
      <c r="D113" s="7" t="s">
        <v>80</v>
      </c>
      <c r="E113" s="24" t="s">
        <v>184</v>
      </c>
      <c r="F113" s="24" t="s">
        <v>247</v>
      </c>
      <c r="G113" s="7" t="n">
        <v>35</v>
      </c>
      <c r="H113" s="22" t="n">
        <v>5.8</v>
      </c>
      <c r="I113" s="7" t="s">
        <v>254</v>
      </c>
      <c r="J113" s="7" t="s">
        <v>231</v>
      </c>
      <c r="K113" s="7" t="s">
        <v>139</v>
      </c>
      <c r="L113" s="7" t="s">
        <v>249</v>
      </c>
      <c r="M113" s="7" t="n">
        <v>0</v>
      </c>
      <c r="N113" s="7"/>
      <c r="O113" s="7"/>
      <c r="P113" s="7" t="s">
        <v>147</v>
      </c>
    </row>
    <row r="114" customFormat="false" ht="23.85" hidden="false" customHeight="false" outlineLevel="0" collapsed="false">
      <c r="A114" s="7" t="n">
        <v>11</v>
      </c>
      <c r="B114" s="21" t="n">
        <v>46377</v>
      </c>
      <c r="C114" s="7" t="s">
        <v>135</v>
      </c>
      <c r="D114" s="7" t="s">
        <v>85</v>
      </c>
      <c r="E114" s="18" t="s">
        <v>42</v>
      </c>
      <c r="F114" s="18" t="s">
        <v>136</v>
      </c>
      <c r="G114" s="7" t="n">
        <v>60</v>
      </c>
      <c r="H114" s="22" t="n">
        <v>3</v>
      </c>
      <c r="I114" s="7" t="s">
        <v>228</v>
      </c>
      <c r="J114" s="7" t="s">
        <v>138</v>
      </c>
      <c r="K114" s="7" t="s">
        <v>139</v>
      </c>
      <c r="L114" s="7"/>
      <c r="M114" s="7" t="n">
        <v>0</v>
      </c>
      <c r="N114" s="7"/>
      <c r="O114" s="7"/>
      <c r="P114" s="7" t="s">
        <v>140</v>
      </c>
    </row>
    <row r="115" customFormat="false" ht="23.85" hidden="false" customHeight="false" outlineLevel="0" collapsed="false">
      <c r="A115" s="7" t="n">
        <v>11</v>
      </c>
      <c r="B115" s="21" t="n">
        <v>46377</v>
      </c>
      <c r="C115" s="7" t="s">
        <v>135</v>
      </c>
      <c r="D115" s="7" t="s">
        <v>85</v>
      </c>
      <c r="E115" s="24" t="s">
        <v>184</v>
      </c>
      <c r="F115" s="24" t="s">
        <v>229</v>
      </c>
      <c r="G115" s="7" t="n">
        <v>30</v>
      </c>
      <c r="H115" s="22" t="n">
        <v>5</v>
      </c>
      <c r="I115" s="7" t="s">
        <v>235</v>
      </c>
      <c r="J115" s="7" t="s">
        <v>231</v>
      </c>
      <c r="K115" s="7" t="s">
        <v>139</v>
      </c>
      <c r="L115" s="7" t="s">
        <v>146</v>
      </c>
      <c r="M115" s="7" t="n">
        <v>0</v>
      </c>
      <c r="N115" s="7"/>
      <c r="O115" s="7"/>
      <c r="P115" s="7" t="s">
        <v>147</v>
      </c>
    </row>
    <row r="116" customFormat="false" ht="35.05" hidden="false" customHeight="false" outlineLevel="0" collapsed="false">
      <c r="A116" s="7" t="n">
        <v>11</v>
      </c>
      <c r="B116" s="21" t="n">
        <v>46378</v>
      </c>
      <c r="C116" s="7" t="s">
        <v>141</v>
      </c>
      <c r="D116" s="7" t="s">
        <v>85</v>
      </c>
      <c r="E116" s="14" t="s">
        <v>40</v>
      </c>
      <c r="F116" s="14" t="s">
        <v>255</v>
      </c>
      <c r="G116" s="7" t="n">
        <v>75</v>
      </c>
      <c r="H116" s="22" t="n">
        <v>38</v>
      </c>
      <c r="I116" s="7" t="s">
        <v>256</v>
      </c>
      <c r="J116" s="7" t="s">
        <v>257</v>
      </c>
      <c r="K116" s="7" t="s">
        <v>152</v>
      </c>
      <c r="L116" s="7" t="s">
        <v>240</v>
      </c>
      <c r="M116" s="7" t="n">
        <v>32</v>
      </c>
      <c r="N116" s="7"/>
      <c r="O116" s="7"/>
      <c r="P116" s="7" t="s">
        <v>147</v>
      </c>
    </row>
    <row r="117" customFormat="false" ht="46.25" hidden="false" customHeight="false" outlineLevel="0" collapsed="false">
      <c r="A117" s="7" t="n">
        <v>11</v>
      </c>
      <c r="B117" s="21" t="n">
        <v>46378</v>
      </c>
      <c r="C117" s="7" t="s">
        <v>141</v>
      </c>
      <c r="D117" s="7" t="s">
        <v>85</v>
      </c>
      <c r="E117" s="23" t="s">
        <v>148</v>
      </c>
      <c r="F117" s="23" t="s">
        <v>149</v>
      </c>
      <c r="G117" s="7" t="n">
        <v>45</v>
      </c>
      <c r="H117" s="22"/>
      <c r="I117" s="7" t="s">
        <v>150</v>
      </c>
      <c r="J117" s="7" t="s">
        <v>151</v>
      </c>
      <c r="K117" s="7" t="s">
        <v>152</v>
      </c>
      <c r="L117" s="7"/>
      <c r="M117" s="7" t="n">
        <v>0</v>
      </c>
      <c r="N117" s="7"/>
      <c r="O117" s="7"/>
      <c r="P117" s="7" t="s">
        <v>153</v>
      </c>
    </row>
    <row r="118" customFormat="false" ht="23.85" hidden="false" customHeight="false" outlineLevel="0" collapsed="false">
      <c r="A118" s="7" t="n">
        <v>11</v>
      </c>
      <c r="B118" s="21" t="n">
        <v>46379</v>
      </c>
      <c r="C118" s="7" t="s">
        <v>154</v>
      </c>
      <c r="D118" s="7" t="s">
        <v>85</v>
      </c>
      <c r="E118" s="18" t="s">
        <v>42</v>
      </c>
      <c r="F118" s="18" t="s">
        <v>155</v>
      </c>
      <c r="G118" s="7" t="n">
        <v>60</v>
      </c>
      <c r="H118" s="22" t="n">
        <v>2.8</v>
      </c>
      <c r="I118" s="7" t="s">
        <v>258</v>
      </c>
      <c r="J118" s="7" t="s">
        <v>157</v>
      </c>
      <c r="K118" s="7" t="s">
        <v>152</v>
      </c>
      <c r="L118" s="7"/>
      <c r="M118" s="7" t="n">
        <v>29</v>
      </c>
      <c r="N118" s="7"/>
      <c r="O118" s="7"/>
      <c r="P118" s="7" t="s">
        <v>140</v>
      </c>
    </row>
    <row r="119" customFormat="false" ht="23.85" hidden="false" customHeight="false" outlineLevel="0" collapsed="false">
      <c r="A119" s="7" t="n">
        <v>11</v>
      </c>
      <c r="B119" s="21" t="n">
        <v>46380</v>
      </c>
      <c r="C119" s="7" t="s">
        <v>158</v>
      </c>
      <c r="D119" s="7" t="s">
        <v>85</v>
      </c>
      <c r="E119" s="14" t="s">
        <v>40</v>
      </c>
      <c r="F119" s="14" t="s">
        <v>159</v>
      </c>
      <c r="G119" s="7" t="n">
        <v>60</v>
      </c>
      <c r="H119" s="22" t="n">
        <v>30</v>
      </c>
      <c r="I119" s="7" t="s">
        <v>160</v>
      </c>
      <c r="J119" s="7" t="s">
        <v>161</v>
      </c>
      <c r="K119" s="7" t="s">
        <v>139</v>
      </c>
      <c r="L119" s="7" t="s">
        <v>146</v>
      </c>
      <c r="M119" s="7" t="n">
        <v>0</v>
      </c>
      <c r="N119" s="7"/>
      <c r="O119" s="7"/>
      <c r="P119" s="7" t="s">
        <v>147</v>
      </c>
    </row>
    <row r="120" customFormat="false" ht="23.85" hidden="false" customHeight="false" outlineLevel="0" collapsed="false">
      <c r="A120" s="7" t="n">
        <v>11</v>
      </c>
      <c r="B120" s="21" t="n">
        <v>46380</v>
      </c>
      <c r="C120" s="7" t="s">
        <v>158</v>
      </c>
      <c r="D120" s="7" t="s">
        <v>85</v>
      </c>
      <c r="E120" s="23" t="s">
        <v>148</v>
      </c>
      <c r="F120" s="23" t="s">
        <v>162</v>
      </c>
      <c r="G120" s="7" t="n">
        <v>40</v>
      </c>
      <c r="H120" s="22"/>
      <c r="I120" s="7" t="s">
        <v>163</v>
      </c>
      <c r="J120" s="7" t="s">
        <v>151</v>
      </c>
      <c r="K120" s="7" t="s">
        <v>152</v>
      </c>
      <c r="L120" s="7"/>
      <c r="M120" s="7" t="n">
        <v>0</v>
      </c>
      <c r="N120" s="7"/>
      <c r="O120" s="7"/>
      <c r="P120" s="7" t="s">
        <v>153</v>
      </c>
    </row>
    <row r="121" customFormat="false" ht="23.85" hidden="false" customHeight="false" outlineLevel="0" collapsed="false">
      <c r="A121" s="7" t="n">
        <v>11</v>
      </c>
      <c r="B121" s="21" t="n">
        <v>46381</v>
      </c>
      <c r="C121" s="7" t="s">
        <v>164</v>
      </c>
      <c r="D121" s="7" t="s">
        <v>85</v>
      </c>
      <c r="E121" s="24" t="s">
        <v>184</v>
      </c>
      <c r="F121" s="24" t="s">
        <v>259</v>
      </c>
      <c r="G121" s="7" t="n">
        <v>30</v>
      </c>
      <c r="H121" s="22" t="n">
        <v>5</v>
      </c>
      <c r="I121" s="7" t="s">
        <v>260</v>
      </c>
      <c r="J121" s="7" t="s">
        <v>231</v>
      </c>
      <c r="K121" s="7" t="s">
        <v>139</v>
      </c>
      <c r="L121" s="7" t="s">
        <v>146</v>
      </c>
      <c r="M121" s="7" t="n">
        <v>2</v>
      </c>
      <c r="N121" s="7"/>
      <c r="O121" s="7"/>
      <c r="P121" s="7" t="s">
        <v>147</v>
      </c>
    </row>
    <row r="122" customFormat="false" ht="35.05" hidden="false" customHeight="false" outlineLevel="0" collapsed="false">
      <c r="A122" s="7" t="n">
        <v>11</v>
      </c>
      <c r="B122" s="21" t="n">
        <v>46382</v>
      </c>
      <c r="C122" s="7" t="s">
        <v>167</v>
      </c>
      <c r="D122" s="7" t="s">
        <v>85</v>
      </c>
      <c r="E122" s="14" t="s">
        <v>40</v>
      </c>
      <c r="F122" s="14" t="s">
        <v>168</v>
      </c>
      <c r="G122" s="7" t="n">
        <v>190</v>
      </c>
      <c r="H122" s="22" t="n">
        <v>95</v>
      </c>
      <c r="I122" s="7" t="s">
        <v>261</v>
      </c>
      <c r="J122" s="7" t="s">
        <v>170</v>
      </c>
      <c r="K122" s="7" t="s">
        <v>139</v>
      </c>
      <c r="L122" s="7" t="s">
        <v>242</v>
      </c>
      <c r="M122" s="7" t="n">
        <v>0</v>
      </c>
      <c r="N122" s="7"/>
      <c r="O122" s="7"/>
      <c r="P122" s="7" t="s">
        <v>147</v>
      </c>
    </row>
    <row r="123" customFormat="false" ht="35.05" hidden="false" customHeight="false" outlineLevel="0" collapsed="false">
      <c r="A123" s="7" t="n">
        <v>11</v>
      </c>
      <c r="B123" s="21" t="n">
        <v>46382</v>
      </c>
      <c r="C123" s="7" t="s">
        <v>167</v>
      </c>
      <c r="D123" s="7" t="s">
        <v>85</v>
      </c>
      <c r="E123" s="24" t="s">
        <v>184</v>
      </c>
      <c r="F123" s="24" t="s">
        <v>243</v>
      </c>
      <c r="G123" s="7" t="n">
        <v>10</v>
      </c>
      <c r="H123" s="22" t="n">
        <v>1.7</v>
      </c>
      <c r="I123" s="7" t="s">
        <v>244</v>
      </c>
      <c r="J123" s="7" t="s">
        <v>231</v>
      </c>
      <c r="K123" s="7" t="s">
        <v>245</v>
      </c>
      <c r="L123" s="7" t="s">
        <v>146</v>
      </c>
      <c r="M123" s="7" t="n">
        <v>0</v>
      </c>
      <c r="N123" s="7"/>
      <c r="O123" s="7"/>
      <c r="P123" s="7" t="s">
        <v>246</v>
      </c>
    </row>
    <row r="124" customFormat="false" ht="23.85" hidden="false" customHeight="false" outlineLevel="0" collapsed="false">
      <c r="A124" s="7" t="n">
        <v>11</v>
      </c>
      <c r="B124" s="21" t="n">
        <v>46383</v>
      </c>
      <c r="C124" s="7" t="s">
        <v>172</v>
      </c>
      <c r="D124" s="7" t="s">
        <v>85</v>
      </c>
      <c r="E124" s="18" t="s">
        <v>42</v>
      </c>
      <c r="F124" s="18" t="s">
        <v>165</v>
      </c>
      <c r="G124" s="7" t="n">
        <v>45</v>
      </c>
      <c r="H124" s="22" t="n">
        <v>2.2</v>
      </c>
      <c r="I124" s="7" t="s">
        <v>166</v>
      </c>
      <c r="J124" s="7" t="s">
        <v>138</v>
      </c>
      <c r="K124" s="7" t="s">
        <v>139</v>
      </c>
      <c r="L124" s="7"/>
      <c r="M124" s="7" t="n">
        <v>0</v>
      </c>
      <c r="N124" s="7"/>
      <c r="O124" s="7"/>
      <c r="P124" s="7" t="s">
        <v>262</v>
      </c>
    </row>
    <row r="125" customFormat="false" ht="23.85" hidden="false" customHeight="false" outlineLevel="0" collapsed="false">
      <c r="A125" s="7" t="n">
        <v>11</v>
      </c>
      <c r="B125" s="21" t="n">
        <v>46383</v>
      </c>
      <c r="C125" s="7" t="s">
        <v>172</v>
      </c>
      <c r="D125" s="7" t="s">
        <v>85</v>
      </c>
      <c r="E125" s="24" t="s">
        <v>184</v>
      </c>
      <c r="F125" s="24" t="s">
        <v>247</v>
      </c>
      <c r="G125" s="7" t="n">
        <v>48</v>
      </c>
      <c r="H125" s="22" t="n">
        <v>8</v>
      </c>
      <c r="I125" s="7" t="s">
        <v>263</v>
      </c>
      <c r="J125" s="7" t="s">
        <v>231</v>
      </c>
      <c r="K125" s="7" t="s">
        <v>139</v>
      </c>
      <c r="L125" s="7" t="s">
        <v>249</v>
      </c>
      <c r="M125" s="7" t="n">
        <v>0</v>
      </c>
      <c r="N125" s="7"/>
      <c r="O125" s="7"/>
      <c r="P125" s="7" t="s">
        <v>147</v>
      </c>
    </row>
    <row r="126" customFormat="false" ht="23.85" hidden="false" customHeight="false" outlineLevel="0" collapsed="false">
      <c r="A126" s="7" t="n">
        <v>12</v>
      </c>
      <c r="B126" s="21" t="n">
        <v>46384</v>
      </c>
      <c r="C126" s="7" t="s">
        <v>135</v>
      </c>
      <c r="D126" s="7" t="s">
        <v>85</v>
      </c>
      <c r="E126" s="18" t="s">
        <v>42</v>
      </c>
      <c r="F126" s="18" t="s">
        <v>136</v>
      </c>
      <c r="G126" s="7" t="n">
        <v>60</v>
      </c>
      <c r="H126" s="22" t="n">
        <v>3</v>
      </c>
      <c r="I126" s="7" t="s">
        <v>228</v>
      </c>
      <c r="J126" s="7" t="s">
        <v>138</v>
      </c>
      <c r="K126" s="7" t="s">
        <v>139</v>
      </c>
      <c r="L126" s="7"/>
      <c r="M126" s="7" t="n">
        <v>0</v>
      </c>
      <c r="N126" s="7"/>
      <c r="O126" s="7"/>
      <c r="P126" s="7" t="s">
        <v>140</v>
      </c>
    </row>
    <row r="127" customFormat="false" ht="23.85" hidden="false" customHeight="false" outlineLevel="0" collapsed="false">
      <c r="A127" s="7" t="n">
        <v>12</v>
      </c>
      <c r="B127" s="21" t="n">
        <v>46384</v>
      </c>
      <c r="C127" s="7" t="s">
        <v>135</v>
      </c>
      <c r="D127" s="7" t="s">
        <v>85</v>
      </c>
      <c r="E127" s="24" t="s">
        <v>184</v>
      </c>
      <c r="F127" s="24" t="s">
        <v>229</v>
      </c>
      <c r="G127" s="7" t="n">
        <v>35</v>
      </c>
      <c r="H127" s="22" t="n">
        <v>5.8</v>
      </c>
      <c r="I127" s="7" t="s">
        <v>264</v>
      </c>
      <c r="J127" s="7" t="s">
        <v>231</v>
      </c>
      <c r="K127" s="7" t="s">
        <v>139</v>
      </c>
      <c r="L127" s="7" t="s">
        <v>146</v>
      </c>
      <c r="M127" s="7" t="n">
        <v>0</v>
      </c>
      <c r="N127" s="7"/>
      <c r="O127" s="7"/>
      <c r="P127" s="7" t="s">
        <v>147</v>
      </c>
    </row>
    <row r="128" customFormat="false" ht="35.05" hidden="false" customHeight="false" outlineLevel="0" collapsed="false">
      <c r="A128" s="7" t="n">
        <v>12</v>
      </c>
      <c r="B128" s="21" t="n">
        <v>46385</v>
      </c>
      <c r="C128" s="7" t="s">
        <v>141</v>
      </c>
      <c r="D128" s="7" t="s">
        <v>85</v>
      </c>
      <c r="E128" s="14" t="s">
        <v>40</v>
      </c>
      <c r="F128" s="14" t="s">
        <v>255</v>
      </c>
      <c r="G128" s="7" t="n">
        <v>75</v>
      </c>
      <c r="H128" s="22" t="n">
        <v>38</v>
      </c>
      <c r="I128" s="7" t="s">
        <v>265</v>
      </c>
      <c r="J128" s="7" t="s">
        <v>266</v>
      </c>
      <c r="K128" s="7" t="s">
        <v>152</v>
      </c>
      <c r="L128" s="7" t="s">
        <v>240</v>
      </c>
      <c r="M128" s="7" t="n">
        <v>36</v>
      </c>
      <c r="N128" s="7"/>
      <c r="O128" s="7"/>
      <c r="P128" s="7" t="s">
        <v>147</v>
      </c>
    </row>
    <row r="129" customFormat="false" ht="46.25" hidden="false" customHeight="false" outlineLevel="0" collapsed="false">
      <c r="A129" s="7" t="n">
        <v>12</v>
      </c>
      <c r="B129" s="21" t="n">
        <v>46385</v>
      </c>
      <c r="C129" s="7" t="s">
        <v>141</v>
      </c>
      <c r="D129" s="7" t="s">
        <v>85</v>
      </c>
      <c r="E129" s="23" t="s">
        <v>148</v>
      </c>
      <c r="F129" s="23" t="s">
        <v>149</v>
      </c>
      <c r="G129" s="7" t="n">
        <v>45</v>
      </c>
      <c r="H129" s="22"/>
      <c r="I129" s="7" t="s">
        <v>150</v>
      </c>
      <c r="J129" s="7" t="s">
        <v>151</v>
      </c>
      <c r="K129" s="7" t="s">
        <v>152</v>
      </c>
      <c r="L129" s="7"/>
      <c r="M129" s="7" t="n">
        <v>0</v>
      </c>
      <c r="N129" s="7"/>
      <c r="O129" s="7"/>
      <c r="P129" s="7" t="s">
        <v>153</v>
      </c>
    </row>
    <row r="130" customFormat="false" ht="23.85" hidden="false" customHeight="false" outlineLevel="0" collapsed="false">
      <c r="A130" s="7" t="n">
        <v>12</v>
      </c>
      <c r="B130" s="21" t="n">
        <v>46386</v>
      </c>
      <c r="C130" s="7" t="s">
        <v>154</v>
      </c>
      <c r="D130" s="7" t="s">
        <v>85</v>
      </c>
      <c r="E130" s="18" t="s">
        <v>42</v>
      </c>
      <c r="F130" s="18" t="s">
        <v>155</v>
      </c>
      <c r="G130" s="7" t="n">
        <v>60</v>
      </c>
      <c r="H130" s="22" t="n">
        <v>2.8</v>
      </c>
      <c r="I130" s="7" t="s">
        <v>258</v>
      </c>
      <c r="J130" s="7" t="s">
        <v>157</v>
      </c>
      <c r="K130" s="7" t="s">
        <v>152</v>
      </c>
      <c r="L130" s="7"/>
      <c r="M130" s="7" t="n">
        <v>29</v>
      </c>
      <c r="N130" s="7"/>
      <c r="O130" s="7"/>
      <c r="P130" s="7" t="s">
        <v>140</v>
      </c>
    </row>
    <row r="131" customFormat="false" ht="23.85" hidden="false" customHeight="false" outlineLevel="0" collapsed="false">
      <c r="A131" s="7" t="n">
        <v>12</v>
      </c>
      <c r="B131" s="21" t="n">
        <v>46386</v>
      </c>
      <c r="C131" s="7" t="s">
        <v>154</v>
      </c>
      <c r="D131" s="7" t="s">
        <v>85</v>
      </c>
      <c r="E131" s="24" t="s">
        <v>184</v>
      </c>
      <c r="F131" s="24" t="s">
        <v>259</v>
      </c>
      <c r="G131" s="7" t="n">
        <v>30</v>
      </c>
      <c r="H131" s="22" t="n">
        <v>5</v>
      </c>
      <c r="I131" s="7" t="s">
        <v>260</v>
      </c>
      <c r="J131" s="7" t="s">
        <v>231</v>
      </c>
      <c r="K131" s="7" t="s">
        <v>139</v>
      </c>
      <c r="L131" s="7" t="s">
        <v>146</v>
      </c>
      <c r="M131" s="7" t="n">
        <v>2</v>
      </c>
      <c r="N131" s="7"/>
      <c r="O131" s="7"/>
      <c r="P131" s="7" t="s">
        <v>147</v>
      </c>
    </row>
    <row r="132" customFormat="false" ht="23.85" hidden="false" customHeight="false" outlineLevel="0" collapsed="false">
      <c r="A132" s="7" t="n">
        <v>12</v>
      </c>
      <c r="B132" s="21" t="n">
        <v>46387</v>
      </c>
      <c r="C132" s="7" t="s">
        <v>158</v>
      </c>
      <c r="D132" s="7" t="s">
        <v>85</v>
      </c>
      <c r="E132" s="14" t="s">
        <v>40</v>
      </c>
      <c r="F132" s="14" t="s">
        <v>159</v>
      </c>
      <c r="G132" s="7" t="n">
        <v>60</v>
      </c>
      <c r="H132" s="22" t="n">
        <v>30</v>
      </c>
      <c r="I132" s="7" t="s">
        <v>160</v>
      </c>
      <c r="J132" s="7" t="s">
        <v>161</v>
      </c>
      <c r="K132" s="7" t="s">
        <v>139</v>
      </c>
      <c r="L132" s="7" t="s">
        <v>146</v>
      </c>
      <c r="M132" s="7" t="n">
        <v>0</v>
      </c>
      <c r="N132" s="7"/>
      <c r="O132" s="7"/>
      <c r="P132" s="7" t="s">
        <v>147</v>
      </c>
    </row>
    <row r="133" customFormat="false" ht="23.85" hidden="false" customHeight="false" outlineLevel="0" collapsed="false">
      <c r="A133" s="7" t="n">
        <v>12</v>
      </c>
      <c r="B133" s="21" t="n">
        <v>46387</v>
      </c>
      <c r="C133" s="7" t="s">
        <v>158</v>
      </c>
      <c r="D133" s="7" t="s">
        <v>85</v>
      </c>
      <c r="E133" s="23" t="s">
        <v>148</v>
      </c>
      <c r="F133" s="23" t="s">
        <v>162</v>
      </c>
      <c r="G133" s="7" t="n">
        <v>40</v>
      </c>
      <c r="H133" s="22"/>
      <c r="I133" s="7" t="s">
        <v>163</v>
      </c>
      <c r="J133" s="7" t="s">
        <v>151</v>
      </c>
      <c r="K133" s="7" t="s">
        <v>152</v>
      </c>
      <c r="L133" s="7"/>
      <c r="M133" s="7" t="n">
        <v>0</v>
      </c>
      <c r="N133" s="7"/>
      <c r="O133" s="7"/>
      <c r="P133" s="7" t="s">
        <v>153</v>
      </c>
    </row>
    <row r="134" customFormat="false" ht="23.85" hidden="false" customHeight="false" outlineLevel="0" collapsed="false">
      <c r="A134" s="7" t="n">
        <v>12</v>
      </c>
      <c r="B134" s="21" t="n">
        <v>46388</v>
      </c>
      <c r="C134" s="7" t="s">
        <v>164</v>
      </c>
      <c r="D134" s="7" t="s">
        <v>85</v>
      </c>
      <c r="E134" s="18" t="s">
        <v>42</v>
      </c>
      <c r="F134" s="18" t="s">
        <v>165</v>
      </c>
      <c r="G134" s="7" t="n">
        <v>60</v>
      </c>
      <c r="H134" s="22" t="n">
        <v>3</v>
      </c>
      <c r="I134" s="7" t="s">
        <v>236</v>
      </c>
      <c r="J134" s="7" t="s">
        <v>138</v>
      </c>
      <c r="K134" s="7" t="s">
        <v>139</v>
      </c>
      <c r="L134" s="7"/>
      <c r="M134" s="7" t="n">
        <v>0</v>
      </c>
      <c r="N134" s="7"/>
      <c r="O134" s="7"/>
      <c r="P134" s="7" t="s">
        <v>140</v>
      </c>
    </row>
    <row r="135" customFormat="false" ht="35.05" hidden="false" customHeight="false" outlineLevel="0" collapsed="false">
      <c r="A135" s="7" t="n">
        <v>12</v>
      </c>
      <c r="B135" s="21" t="n">
        <v>46389</v>
      </c>
      <c r="C135" s="7" t="s">
        <v>167</v>
      </c>
      <c r="D135" s="7" t="s">
        <v>85</v>
      </c>
      <c r="E135" s="14" t="s">
        <v>40</v>
      </c>
      <c r="F135" s="14" t="s">
        <v>168</v>
      </c>
      <c r="G135" s="7" t="n">
        <v>195</v>
      </c>
      <c r="H135" s="22" t="n">
        <v>98</v>
      </c>
      <c r="I135" s="7" t="s">
        <v>267</v>
      </c>
      <c r="J135" s="7" t="s">
        <v>170</v>
      </c>
      <c r="K135" s="7" t="s">
        <v>139</v>
      </c>
      <c r="L135" s="7" t="s">
        <v>242</v>
      </c>
      <c r="M135" s="7" t="n">
        <v>0</v>
      </c>
      <c r="N135" s="7"/>
      <c r="O135" s="7"/>
      <c r="P135" s="7" t="s">
        <v>147</v>
      </c>
    </row>
    <row r="136" customFormat="false" ht="35.05" hidden="false" customHeight="false" outlineLevel="0" collapsed="false">
      <c r="A136" s="7" t="n">
        <v>12</v>
      </c>
      <c r="B136" s="21" t="n">
        <v>46389</v>
      </c>
      <c r="C136" s="7" t="s">
        <v>167</v>
      </c>
      <c r="D136" s="7" t="s">
        <v>85</v>
      </c>
      <c r="E136" s="24" t="s">
        <v>184</v>
      </c>
      <c r="F136" s="24" t="s">
        <v>243</v>
      </c>
      <c r="G136" s="7" t="n">
        <v>10</v>
      </c>
      <c r="H136" s="22" t="n">
        <v>1.7</v>
      </c>
      <c r="I136" s="7" t="s">
        <v>244</v>
      </c>
      <c r="J136" s="7" t="s">
        <v>231</v>
      </c>
      <c r="K136" s="7" t="s">
        <v>245</v>
      </c>
      <c r="L136" s="7" t="s">
        <v>146</v>
      </c>
      <c r="M136" s="7" t="n">
        <v>0</v>
      </c>
      <c r="N136" s="7"/>
      <c r="O136" s="7"/>
      <c r="P136" s="7" t="s">
        <v>246</v>
      </c>
    </row>
    <row r="137" customFormat="false" ht="23.85" hidden="false" customHeight="false" outlineLevel="0" collapsed="false">
      <c r="A137" s="7" t="n">
        <v>12</v>
      </c>
      <c r="B137" s="21" t="n">
        <v>46390</v>
      </c>
      <c r="C137" s="7" t="s">
        <v>172</v>
      </c>
      <c r="D137" s="7" t="s">
        <v>85</v>
      </c>
      <c r="E137" s="14" t="s">
        <v>40</v>
      </c>
      <c r="F137" s="14" t="s">
        <v>173</v>
      </c>
      <c r="G137" s="7" t="n">
        <v>30</v>
      </c>
      <c r="H137" s="22" t="n">
        <v>14</v>
      </c>
      <c r="I137" s="7" t="s">
        <v>268</v>
      </c>
      <c r="J137" s="7" t="s">
        <v>175</v>
      </c>
      <c r="K137" s="7" t="s">
        <v>176</v>
      </c>
      <c r="L137" s="7" t="s">
        <v>146</v>
      </c>
      <c r="M137" s="7" t="n">
        <v>0</v>
      </c>
      <c r="N137" s="7"/>
      <c r="O137" s="7"/>
      <c r="P137" s="7" t="s">
        <v>147</v>
      </c>
    </row>
    <row r="138" customFormat="false" ht="23.85" hidden="false" customHeight="false" outlineLevel="0" collapsed="false">
      <c r="A138" s="7" t="n">
        <v>12</v>
      </c>
      <c r="B138" s="21" t="n">
        <v>46390</v>
      </c>
      <c r="C138" s="7" t="s">
        <v>172</v>
      </c>
      <c r="D138" s="7" t="s">
        <v>85</v>
      </c>
      <c r="E138" s="24" t="s">
        <v>184</v>
      </c>
      <c r="F138" s="24" t="s">
        <v>247</v>
      </c>
      <c r="G138" s="7" t="n">
        <v>54</v>
      </c>
      <c r="H138" s="22" t="n">
        <v>9</v>
      </c>
      <c r="I138" s="7" t="s">
        <v>269</v>
      </c>
      <c r="J138" s="7" t="s">
        <v>231</v>
      </c>
      <c r="K138" s="7" t="s">
        <v>139</v>
      </c>
      <c r="L138" s="7" t="s">
        <v>249</v>
      </c>
      <c r="M138" s="7" t="n">
        <v>0</v>
      </c>
      <c r="N138" s="7"/>
      <c r="O138" s="7"/>
      <c r="P138" s="7" t="s">
        <v>147</v>
      </c>
    </row>
    <row r="139" customFormat="false" ht="23.85" hidden="false" customHeight="false" outlineLevel="0" collapsed="false">
      <c r="A139" s="7" t="n">
        <v>13</v>
      </c>
      <c r="B139" s="21" t="n">
        <v>46391</v>
      </c>
      <c r="C139" s="7" t="s">
        <v>135</v>
      </c>
      <c r="D139" s="7" t="s">
        <v>85</v>
      </c>
      <c r="E139" s="18" t="s">
        <v>42</v>
      </c>
      <c r="F139" s="18" t="s">
        <v>136</v>
      </c>
      <c r="G139" s="7" t="n">
        <v>60</v>
      </c>
      <c r="H139" s="22" t="n">
        <v>3</v>
      </c>
      <c r="I139" s="7" t="s">
        <v>228</v>
      </c>
      <c r="J139" s="7" t="s">
        <v>138</v>
      </c>
      <c r="K139" s="7" t="s">
        <v>139</v>
      </c>
      <c r="L139" s="7"/>
      <c r="M139" s="7" t="n">
        <v>0</v>
      </c>
      <c r="N139" s="7"/>
      <c r="O139" s="7"/>
      <c r="P139" s="7" t="s">
        <v>140</v>
      </c>
    </row>
    <row r="140" customFormat="false" ht="23.85" hidden="false" customHeight="false" outlineLevel="0" collapsed="false">
      <c r="A140" s="7" t="n">
        <v>13</v>
      </c>
      <c r="B140" s="21" t="n">
        <v>46391</v>
      </c>
      <c r="C140" s="7" t="s">
        <v>135</v>
      </c>
      <c r="D140" s="7" t="s">
        <v>85</v>
      </c>
      <c r="E140" s="24" t="s">
        <v>184</v>
      </c>
      <c r="F140" s="24" t="s">
        <v>229</v>
      </c>
      <c r="G140" s="7" t="n">
        <v>35</v>
      </c>
      <c r="H140" s="22" t="n">
        <v>5.8</v>
      </c>
      <c r="I140" s="7" t="s">
        <v>264</v>
      </c>
      <c r="J140" s="7" t="s">
        <v>231</v>
      </c>
      <c r="K140" s="7" t="s">
        <v>139</v>
      </c>
      <c r="L140" s="7" t="s">
        <v>146</v>
      </c>
      <c r="M140" s="7" t="n">
        <v>0</v>
      </c>
      <c r="N140" s="7"/>
      <c r="O140" s="7"/>
      <c r="P140" s="7" t="s">
        <v>147</v>
      </c>
    </row>
    <row r="141" customFormat="false" ht="35.05" hidden="false" customHeight="false" outlineLevel="0" collapsed="false">
      <c r="A141" s="7" t="n">
        <v>13</v>
      </c>
      <c r="B141" s="21" t="n">
        <v>46392</v>
      </c>
      <c r="C141" s="7" t="s">
        <v>141</v>
      </c>
      <c r="D141" s="7" t="s">
        <v>85</v>
      </c>
      <c r="E141" s="14" t="s">
        <v>40</v>
      </c>
      <c r="F141" s="14" t="s">
        <v>255</v>
      </c>
      <c r="G141" s="7" t="n">
        <v>75</v>
      </c>
      <c r="H141" s="22" t="n">
        <v>38</v>
      </c>
      <c r="I141" s="7" t="s">
        <v>270</v>
      </c>
      <c r="J141" s="7" t="s">
        <v>266</v>
      </c>
      <c r="K141" s="7" t="s">
        <v>152</v>
      </c>
      <c r="L141" s="7" t="s">
        <v>240</v>
      </c>
      <c r="M141" s="7" t="n">
        <v>40</v>
      </c>
      <c r="N141" s="7"/>
      <c r="O141" s="7"/>
      <c r="P141" s="7" t="s">
        <v>147</v>
      </c>
    </row>
    <row r="142" customFormat="false" ht="46.25" hidden="false" customHeight="false" outlineLevel="0" collapsed="false">
      <c r="A142" s="7" t="n">
        <v>13</v>
      </c>
      <c r="B142" s="21" t="n">
        <v>46392</v>
      </c>
      <c r="C142" s="7" t="s">
        <v>141</v>
      </c>
      <c r="D142" s="7" t="s">
        <v>85</v>
      </c>
      <c r="E142" s="23" t="s">
        <v>148</v>
      </c>
      <c r="F142" s="23" t="s">
        <v>149</v>
      </c>
      <c r="G142" s="7" t="n">
        <v>45</v>
      </c>
      <c r="H142" s="22"/>
      <c r="I142" s="7" t="s">
        <v>150</v>
      </c>
      <c r="J142" s="7" t="s">
        <v>151</v>
      </c>
      <c r="K142" s="7" t="s">
        <v>152</v>
      </c>
      <c r="L142" s="7"/>
      <c r="M142" s="7" t="n">
        <v>0</v>
      </c>
      <c r="N142" s="7"/>
      <c r="O142" s="7"/>
      <c r="P142" s="7" t="s">
        <v>153</v>
      </c>
    </row>
    <row r="143" customFormat="false" ht="23.85" hidden="false" customHeight="false" outlineLevel="0" collapsed="false">
      <c r="A143" s="7" t="n">
        <v>13</v>
      </c>
      <c r="B143" s="21" t="n">
        <v>46393</v>
      </c>
      <c r="C143" s="7" t="s">
        <v>154</v>
      </c>
      <c r="D143" s="7" t="s">
        <v>85</v>
      </c>
      <c r="E143" s="18" t="s">
        <v>42</v>
      </c>
      <c r="F143" s="18" t="s">
        <v>155</v>
      </c>
      <c r="G143" s="7" t="n">
        <v>65</v>
      </c>
      <c r="H143" s="22" t="n">
        <v>3.1</v>
      </c>
      <c r="I143" s="7" t="s">
        <v>271</v>
      </c>
      <c r="J143" s="7" t="s">
        <v>157</v>
      </c>
      <c r="K143" s="7" t="s">
        <v>152</v>
      </c>
      <c r="L143" s="7"/>
      <c r="M143" s="7" t="n">
        <v>33</v>
      </c>
      <c r="N143" s="7"/>
      <c r="O143" s="7"/>
      <c r="P143" s="7" t="s">
        <v>140</v>
      </c>
    </row>
    <row r="144" customFormat="false" ht="23.85" hidden="false" customHeight="false" outlineLevel="0" collapsed="false">
      <c r="A144" s="7" t="n">
        <v>13</v>
      </c>
      <c r="B144" s="21" t="n">
        <v>46393</v>
      </c>
      <c r="C144" s="7" t="s">
        <v>154</v>
      </c>
      <c r="D144" s="7" t="s">
        <v>85</v>
      </c>
      <c r="E144" s="24" t="s">
        <v>184</v>
      </c>
      <c r="F144" s="24" t="s">
        <v>259</v>
      </c>
      <c r="G144" s="7" t="n">
        <v>35</v>
      </c>
      <c r="H144" s="22" t="n">
        <v>5.8</v>
      </c>
      <c r="I144" s="7" t="s">
        <v>272</v>
      </c>
      <c r="J144" s="7" t="s">
        <v>231</v>
      </c>
      <c r="K144" s="7" t="s">
        <v>139</v>
      </c>
      <c r="L144" s="7" t="s">
        <v>146</v>
      </c>
      <c r="M144" s="7" t="n">
        <v>2</v>
      </c>
      <c r="N144" s="7"/>
      <c r="O144" s="7"/>
      <c r="P144" s="7" t="s">
        <v>147</v>
      </c>
    </row>
    <row r="145" customFormat="false" ht="23.85" hidden="false" customHeight="false" outlineLevel="0" collapsed="false">
      <c r="A145" s="7" t="n">
        <v>13</v>
      </c>
      <c r="B145" s="21" t="n">
        <v>46394</v>
      </c>
      <c r="C145" s="7" t="s">
        <v>158</v>
      </c>
      <c r="D145" s="7" t="s">
        <v>85</v>
      </c>
      <c r="E145" s="14" t="s">
        <v>40</v>
      </c>
      <c r="F145" s="14" t="s">
        <v>159</v>
      </c>
      <c r="G145" s="7" t="n">
        <v>70</v>
      </c>
      <c r="H145" s="22" t="n">
        <v>35</v>
      </c>
      <c r="I145" s="7" t="s">
        <v>273</v>
      </c>
      <c r="J145" s="7" t="s">
        <v>161</v>
      </c>
      <c r="K145" s="7" t="s">
        <v>139</v>
      </c>
      <c r="L145" s="7" t="s">
        <v>146</v>
      </c>
      <c r="M145" s="7" t="n">
        <v>0</v>
      </c>
      <c r="N145" s="7"/>
      <c r="O145" s="7"/>
      <c r="P145" s="7" t="s">
        <v>147</v>
      </c>
    </row>
    <row r="146" customFormat="false" ht="23.85" hidden="false" customHeight="false" outlineLevel="0" collapsed="false">
      <c r="A146" s="7" t="n">
        <v>13</v>
      </c>
      <c r="B146" s="21" t="n">
        <v>46394</v>
      </c>
      <c r="C146" s="7" t="s">
        <v>158</v>
      </c>
      <c r="D146" s="7" t="s">
        <v>85</v>
      </c>
      <c r="E146" s="23" t="s">
        <v>148</v>
      </c>
      <c r="F146" s="23" t="s">
        <v>162</v>
      </c>
      <c r="G146" s="7" t="n">
        <v>40</v>
      </c>
      <c r="H146" s="22"/>
      <c r="I146" s="7" t="s">
        <v>163</v>
      </c>
      <c r="J146" s="7" t="s">
        <v>151</v>
      </c>
      <c r="K146" s="7" t="s">
        <v>152</v>
      </c>
      <c r="L146" s="7"/>
      <c r="M146" s="7" t="n">
        <v>0</v>
      </c>
      <c r="N146" s="7"/>
      <c r="O146" s="7"/>
      <c r="P146" s="7" t="s">
        <v>153</v>
      </c>
    </row>
    <row r="147" customFormat="false" ht="23.85" hidden="false" customHeight="false" outlineLevel="0" collapsed="false">
      <c r="A147" s="7" t="n">
        <v>13</v>
      </c>
      <c r="B147" s="21" t="n">
        <v>46395</v>
      </c>
      <c r="C147" s="7" t="s">
        <v>164</v>
      </c>
      <c r="D147" s="7" t="s">
        <v>85</v>
      </c>
      <c r="E147" s="18" t="s">
        <v>42</v>
      </c>
      <c r="F147" s="18" t="s">
        <v>165</v>
      </c>
      <c r="G147" s="7" t="n">
        <v>65</v>
      </c>
      <c r="H147" s="22" t="n">
        <v>3.2</v>
      </c>
      <c r="I147" s="7" t="s">
        <v>274</v>
      </c>
      <c r="J147" s="7" t="s">
        <v>138</v>
      </c>
      <c r="K147" s="7" t="s">
        <v>139</v>
      </c>
      <c r="L147" s="7"/>
      <c r="M147" s="7" t="n">
        <v>0</v>
      </c>
      <c r="N147" s="7"/>
      <c r="O147" s="7"/>
      <c r="P147" s="7" t="s">
        <v>140</v>
      </c>
    </row>
    <row r="148" customFormat="false" ht="35.05" hidden="false" customHeight="false" outlineLevel="0" collapsed="false">
      <c r="A148" s="7" t="n">
        <v>13</v>
      </c>
      <c r="B148" s="21" t="n">
        <v>46396</v>
      </c>
      <c r="C148" s="7" t="s">
        <v>167</v>
      </c>
      <c r="D148" s="7" t="s">
        <v>85</v>
      </c>
      <c r="E148" s="14" t="s">
        <v>40</v>
      </c>
      <c r="F148" s="14" t="s">
        <v>168</v>
      </c>
      <c r="G148" s="7" t="n">
        <v>210</v>
      </c>
      <c r="H148" s="22" t="n">
        <v>105</v>
      </c>
      <c r="I148" s="7" t="s">
        <v>275</v>
      </c>
      <c r="J148" s="7" t="s">
        <v>170</v>
      </c>
      <c r="K148" s="7" t="s">
        <v>139</v>
      </c>
      <c r="L148" s="7" t="s">
        <v>242</v>
      </c>
      <c r="M148" s="7" t="n">
        <v>0</v>
      </c>
      <c r="N148" s="7"/>
      <c r="O148" s="7"/>
      <c r="P148" s="7" t="s">
        <v>147</v>
      </c>
    </row>
    <row r="149" customFormat="false" ht="35.05" hidden="false" customHeight="false" outlineLevel="0" collapsed="false">
      <c r="A149" s="7" t="n">
        <v>13</v>
      </c>
      <c r="B149" s="21" t="n">
        <v>46396</v>
      </c>
      <c r="C149" s="7" t="s">
        <v>167</v>
      </c>
      <c r="D149" s="7" t="s">
        <v>85</v>
      </c>
      <c r="E149" s="24" t="s">
        <v>184</v>
      </c>
      <c r="F149" s="24" t="s">
        <v>243</v>
      </c>
      <c r="G149" s="7" t="n">
        <v>10</v>
      </c>
      <c r="H149" s="22" t="n">
        <v>1.7</v>
      </c>
      <c r="I149" s="7" t="s">
        <v>244</v>
      </c>
      <c r="J149" s="7" t="s">
        <v>231</v>
      </c>
      <c r="K149" s="7" t="s">
        <v>245</v>
      </c>
      <c r="L149" s="7" t="s">
        <v>146</v>
      </c>
      <c r="M149" s="7" t="n">
        <v>0</v>
      </c>
      <c r="N149" s="7"/>
      <c r="O149" s="7"/>
      <c r="P149" s="7" t="s">
        <v>246</v>
      </c>
    </row>
    <row r="150" customFormat="false" ht="23.85" hidden="false" customHeight="false" outlineLevel="0" collapsed="false">
      <c r="A150" s="7" t="n">
        <v>13</v>
      </c>
      <c r="B150" s="21" t="n">
        <v>46397</v>
      </c>
      <c r="C150" s="7" t="s">
        <v>172</v>
      </c>
      <c r="D150" s="7" t="s">
        <v>85</v>
      </c>
      <c r="E150" s="14" t="s">
        <v>40</v>
      </c>
      <c r="F150" s="14" t="s">
        <v>173</v>
      </c>
      <c r="G150" s="7" t="n">
        <v>35</v>
      </c>
      <c r="H150" s="22" t="n">
        <v>16</v>
      </c>
      <c r="I150" s="7" t="s">
        <v>238</v>
      </c>
      <c r="J150" s="7" t="s">
        <v>175</v>
      </c>
      <c r="K150" s="7" t="s">
        <v>176</v>
      </c>
      <c r="L150" s="7" t="s">
        <v>146</v>
      </c>
      <c r="M150" s="7" t="n">
        <v>0</v>
      </c>
      <c r="N150" s="7"/>
      <c r="O150" s="7"/>
      <c r="P150" s="7" t="s">
        <v>147</v>
      </c>
    </row>
    <row r="151" customFormat="false" ht="23.85" hidden="false" customHeight="false" outlineLevel="0" collapsed="false">
      <c r="A151" s="7" t="n">
        <v>13</v>
      </c>
      <c r="B151" s="21" t="n">
        <v>46397</v>
      </c>
      <c r="C151" s="7" t="s">
        <v>172</v>
      </c>
      <c r="D151" s="7" t="s">
        <v>85</v>
      </c>
      <c r="E151" s="24" t="s">
        <v>184</v>
      </c>
      <c r="F151" s="24" t="s">
        <v>247</v>
      </c>
      <c r="G151" s="7" t="n">
        <v>60</v>
      </c>
      <c r="H151" s="22" t="n">
        <v>10</v>
      </c>
      <c r="I151" s="7" t="s">
        <v>276</v>
      </c>
      <c r="J151" s="7" t="s">
        <v>231</v>
      </c>
      <c r="K151" s="7" t="s">
        <v>139</v>
      </c>
      <c r="L151" s="7" t="s">
        <v>249</v>
      </c>
      <c r="M151" s="7" t="n">
        <v>0</v>
      </c>
      <c r="N151" s="7"/>
      <c r="O151" s="7"/>
      <c r="P151" s="7" t="s">
        <v>147</v>
      </c>
    </row>
    <row r="152" customFormat="false" ht="23.85" hidden="false" customHeight="false" outlineLevel="0" collapsed="false">
      <c r="A152" s="7" t="n">
        <v>14</v>
      </c>
      <c r="B152" s="21" t="n">
        <v>46398</v>
      </c>
      <c r="C152" s="7" t="s">
        <v>135</v>
      </c>
      <c r="D152" s="7" t="s">
        <v>85</v>
      </c>
      <c r="E152" s="18" t="s">
        <v>42</v>
      </c>
      <c r="F152" s="18" t="s">
        <v>136</v>
      </c>
      <c r="G152" s="7" t="n">
        <v>45</v>
      </c>
      <c r="H152" s="22" t="n">
        <v>2.2</v>
      </c>
      <c r="I152" s="7" t="s">
        <v>177</v>
      </c>
      <c r="J152" s="7" t="s">
        <v>138</v>
      </c>
      <c r="K152" s="7" t="s">
        <v>139</v>
      </c>
      <c r="L152" s="7"/>
      <c r="M152" s="7" t="n">
        <v>0</v>
      </c>
      <c r="N152" s="7"/>
      <c r="O152" s="7"/>
      <c r="P152" s="7" t="s">
        <v>140</v>
      </c>
    </row>
    <row r="153" customFormat="false" ht="35.05" hidden="false" customHeight="false" outlineLevel="0" collapsed="false">
      <c r="A153" s="7" t="n">
        <v>14</v>
      </c>
      <c r="B153" s="21" t="n">
        <v>46398</v>
      </c>
      <c r="C153" s="7" t="s">
        <v>135</v>
      </c>
      <c r="D153" s="7" t="s">
        <v>85</v>
      </c>
      <c r="E153" s="23" t="s">
        <v>148</v>
      </c>
      <c r="F153" s="23" t="s">
        <v>149</v>
      </c>
      <c r="G153" s="7" t="n">
        <v>30</v>
      </c>
      <c r="H153" s="22"/>
      <c r="I153" s="7" t="s">
        <v>178</v>
      </c>
      <c r="J153" s="7" t="s">
        <v>151</v>
      </c>
      <c r="K153" s="7" t="s">
        <v>152</v>
      </c>
      <c r="L153" s="7"/>
      <c r="M153" s="7" t="n">
        <v>0</v>
      </c>
      <c r="N153" s="7"/>
      <c r="O153" s="7"/>
      <c r="P153" s="7" t="s">
        <v>153</v>
      </c>
    </row>
    <row r="154" customFormat="false" ht="23.85" hidden="false" customHeight="false" outlineLevel="0" collapsed="false">
      <c r="A154" s="7" t="n">
        <v>14</v>
      </c>
      <c r="B154" s="21" t="n">
        <v>46399</v>
      </c>
      <c r="C154" s="7" t="s">
        <v>141</v>
      </c>
      <c r="D154" s="7" t="s">
        <v>85</v>
      </c>
      <c r="E154" s="14" t="s">
        <v>40</v>
      </c>
      <c r="F154" s="14" t="s">
        <v>218</v>
      </c>
      <c r="G154" s="7" t="n">
        <v>45</v>
      </c>
      <c r="H154" s="22" t="n">
        <v>18</v>
      </c>
      <c r="I154" s="7" t="s">
        <v>219</v>
      </c>
      <c r="J154" s="7" t="s">
        <v>220</v>
      </c>
      <c r="K154" s="7" t="s">
        <v>221</v>
      </c>
      <c r="L154" s="7" t="s">
        <v>146</v>
      </c>
      <c r="M154" s="7" t="n">
        <v>8</v>
      </c>
      <c r="N154" s="7"/>
      <c r="O154" s="7"/>
      <c r="P154" s="7" t="s">
        <v>147</v>
      </c>
    </row>
    <row r="155" customFormat="false" ht="23.85" hidden="false" customHeight="false" outlineLevel="0" collapsed="false">
      <c r="A155" s="7" t="n">
        <v>14</v>
      </c>
      <c r="B155" s="21" t="n">
        <v>46399</v>
      </c>
      <c r="C155" s="7" t="s">
        <v>141</v>
      </c>
      <c r="D155" s="7" t="s">
        <v>85</v>
      </c>
      <c r="E155" s="24" t="s">
        <v>184</v>
      </c>
      <c r="F155" s="24" t="s">
        <v>229</v>
      </c>
      <c r="G155" s="7" t="n">
        <v>30</v>
      </c>
      <c r="H155" s="22" t="n">
        <v>5</v>
      </c>
      <c r="I155" s="7" t="s">
        <v>235</v>
      </c>
      <c r="J155" s="7" t="s">
        <v>231</v>
      </c>
      <c r="K155" s="7" t="s">
        <v>139</v>
      </c>
      <c r="L155" s="7" t="s">
        <v>146</v>
      </c>
      <c r="M155" s="7" t="n">
        <v>0</v>
      </c>
      <c r="N155" s="7"/>
      <c r="O155" s="7"/>
      <c r="P155" s="7" t="s">
        <v>153</v>
      </c>
    </row>
    <row r="156" customFormat="false" ht="23.85" hidden="false" customHeight="false" outlineLevel="0" collapsed="false">
      <c r="A156" s="7" t="n">
        <v>14</v>
      </c>
      <c r="B156" s="21" t="n">
        <v>46400</v>
      </c>
      <c r="C156" s="7" t="s">
        <v>154</v>
      </c>
      <c r="D156" s="7" t="s">
        <v>85</v>
      </c>
      <c r="E156" s="18" t="s">
        <v>42</v>
      </c>
      <c r="F156" s="18" t="s">
        <v>208</v>
      </c>
      <c r="G156" s="7" t="n">
        <v>45</v>
      </c>
      <c r="H156" s="22" t="n">
        <v>1.8</v>
      </c>
      <c r="I156" s="7" t="s">
        <v>209</v>
      </c>
      <c r="J156" s="7" t="s">
        <v>210</v>
      </c>
      <c r="K156" s="7" t="s">
        <v>211</v>
      </c>
      <c r="L156" s="7"/>
      <c r="M156" s="7" t="n">
        <v>10</v>
      </c>
      <c r="N156" s="7"/>
      <c r="O156" s="7"/>
      <c r="P156" s="7" t="s">
        <v>140</v>
      </c>
    </row>
    <row r="157" customFormat="false" ht="23.85" hidden="false" customHeight="false" outlineLevel="0" collapsed="false">
      <c r="A157" s="7" t="n">
        <v>14</v>
      </c>
      <c r="B157" s="21" t="n">
        <v>46401</v>
      </c>
      <c r="C157" s="7" t="s">
        <v>158</v>
      </c>
      <c r="D157" s="7" t="s">
        <v>85</v>
      </c>
      <c r="E157" s="14" t="s">
        <v>40</v>
      </c>
      <c r="F157" s="14" t="s">
        <v>159</v>
      </c>
      <c r="G157" s="7" t="n">
        <v>60</v>
      </c>
      <c r="H157" s="22" t="n">
        <v>30</v>
      </c>
      <c r="I157" s="7" t="s">
        <v>160</v>
      </c>
      <c r="J157" s="7" t="s">
        <v>161</v>
      </c>
      <c r="K157" s="7" t="s">
        <v>139</v>
      </c>
      <c r="L157" s="7" t="s">
        <v>146</v>
      </c>
      <c r="M157" s="7" t="n">
        <v>0</v>
      </c>
      <c r="N157" s="7"/>
      <c r="O157" s="7"/>
      <c r="P157" s="7" t="s">
        <v>147</v>
      </c>
    </row>
    <row r="158" customFormat="false" ht="23.85" hidden="false" customHeight="false" outlineLevel="0" collapsed="false">
      <c r="A158" s="7" t="n">
        <v>14</v>
      </c>
      <c r="B158" s="21" t="n">
        <v>46401</v>
      </c>
      <c r="C158" s="7" t="s">
        <v>158</v>
      </c>
      <c r="D158" s="7" t="s">
        <v>85</v>
      </c>
      <c r="E158" s="24" t="s">
        <v>184</v>
      </c>
      <c r="F158" s="24" t="s">
        <v>259</v>
      </c>
      <c r="G158" s="7" t="n">
        <v>30</v>
      </c>
      <c r="H158" s="22" t="n">
        <v>5</v>
      </c>
      <c r="I158" s="7" t="s">
        <v>260</v>
      </c>
      <c r="J158" s="7" t="s">
        <v>231</v>
      </c>
      <c r="K158" s="7" t="s">
        <v>139</v>
      </c>
      <c r="L158" s="7" t="s">
        <v>146</v>
      </c>
      <c r="M158" s="7" t="n">
        <v>2</v>
      </c>
      <c r="N158" s="7"/>
      <c r="O158" s="7"/>
      <c r="P158" s="7" t="s">
        <v>153</v>
      </c>
    </row>
    <row r="159" customFormat="false" ht="23.85" hidden="false" customHeight="false" outlineLevel="0" collapsed="false">
      <c r="A159" s="7" t="n">
        <v>14</v>
      </c>
      <c r="B159" s="21" t="n">
        <v>46401</v>
      </c>
      <c r="C159" s="7" t="s">
        <v>158</v>
      </c>
      <c r="D159" s="7" t="s">
        <v>85</v>
      </c>
      <c r="E159" s="23" t="s">
        <v>148</v>
      </c>
      <c r="F159" s="23" t="s">
        <v>162</v>
      </c>
      <c r="G159" s="7" t="n">
        <v>30</v>
      </c>
      <c r="H159" s="22"/>
      <c r="I159" s="7" t="s">
        <v>163</v>
      </c>
      <c r="J159" s="7" t="s">
        <v>151</v>
      </c>
      <c r="K159" s="7" t="s">
        <v>152</v>
      </c>
      <c r="L159" s="7"/>
      <c r="M159" s="7" t="n">
        <v>0</v>
      </c>
      <c r="N159" s="7"/>
      <c r="O159" s="7"/>
      <c r="P159" s="7" t="s">
        <v>213</v>
      </c>
    </row>
    <row r="160" customFormat="false" ht="15" hidden="false" customHeight="false" outlineLevel="0" collapsed="false">
      <c r="A160" s="7" t="n">
        <v>14</v>
      </c>
      <c r="B160" s="21" t="n">
        <v>46402</v>
      </c>
      <c r="C160" s="7" t="s">
        <v>164</v>
      </c>
      <c r="D160" s="7" t="s">
        <v>85</v>
      </c>
      <c r="E160" s="18" t="s">
        <v>42</v>
      </c>
      <c r="F160" s="18" t="s">
        <v>214</v>
      </c>
      <c r="G160" s="7" t="n">
        <v>40</v>
      </c>
      <c r="H160" s="22" t="n">
        <v>1.8</v>
      </c>
      <c r="I160" s="7" t="s">
        <v>215</v>
      </c>
      <c r="J160" s="7" t="s">
        <v>216</v>
      </c>
      <c r="K160" s="7" t="s">
        <v>217</v>
      </c>
      <c r="L160" s="7"/>
      <c r="M160" s="7" t="n">
        <v>0</v>
      </c>
      <c r="N160" s="7"/>
      <c r="O160" s="7"/>
      <c r="P160" s="7" t="s">
        <v>140</v>
      </c>
    </row>
    <row r="161" customFormat="false" ht="35.05" hidden="false" customHeight="false" outlineLevel="0" collapsed="false">
      <c r="A161" s="7" t="n">
        <v>14</v>
      </c>
      <c r="B161" s="21" t="n">
        <v>46403</v>
      </c>
      <c r="C161" s="7" t="s">
        <v>167</v>
      </c>
      <c r="D161" s="7" t="s">
        <v>85</v>
      </c>
      <c r="E161" s="14" t="s">
        <v>40</v>
      </c>
      <c r="F161" s="14" t="s">
        <v>168</v>
      </c>
      <c r="G161" s="7" t="n">
        <v>150</v>
      </c>
      <c r="H161" s="22" t="n">
        <v>75</v>
      </c>
      <c r="I161" s="7" t="s">
        <v>277</v>
      </c>
      <c r="J161" s="7" t="s">
        <v>170</v>
      </c>
      <c r="K161" s="7" t="s">
        <v>139</v>
      </c>
      <c r="L161" s="7" t="s">
        <v>242</v>
      </c>
      <c r="M161" s="7" t="n">
        <v>0</v>
      </c>
      <c r="N161" s="7"/>
      <c r="O161" s="7"/>
      <c r="P161" s="7" t="s">
        <v>147</v>
      </c>
    </row>
    <row r="162" customFormat="false" ht="23.85" hidden="false" customHeight="false" outlineLevel="0" collapsed="false">
      <c r="A162" s="7" t="n">
        <v>14</v>
      </c>
      <c r="B162" s="21" t="n">
        <v>46404</v>
      </c>
      <c r="C162" s="7" t="s">
        <v>172</v>
      </c>
      <c r="D162" s="7" t="s">
        <v>85</v>
      </c>
      <c r="E162" s="24" t="s">
        <v>184</v>
      </c>
      <c r="F162" s="24" t="s">
        <v>247</v>
      </c>
      <c r="G162" s="7" t="n">
        <v>50</v>
      </c>
      <c r="H162" s="22" t="n">
        <v>8.3</v>
      </c>
      <c r="I162" s="7" t="s">
        <v>278</v>
      </c>
      <c r="J162" s="7" t="s">
        <v>231</v>
      </c>
      <c r="K162" s="7" t="s">
        <v>139</v>
      </c>
      <c r="L162" s="7" t="s">
        <v>249</v>
      </c>
      <c r="M162" s="7" t="n">
        <v>0</v>
      </c>
      <c r="N162" s="7"/>
      <c r="O162" s="7"/>
      <c r="P162" s="7" t="s">
        <v>147</v>
      </c>
    </row>
    <row r="163" customFormat="false" ht="23.85" hidden="false" customHeight="false" outlineLevel="0" collapsed="false">
      <c r="A163" s="7" t="n">
        <v>15</v>
      </c>
      <c r="B163" s="21" t="n">
        <v>46405</v>
      </c>
      <c r="C163" s="7" t="s">
        <v>135</v>
      </c>
      <c r="D163" s="7" t="s">
        <v>90</v>
      </c>
      <c r="E163" s="18" t="s">
        <v>42</v>
      </c>
      <c r="F163" s="18" t="s">
        <v>136</v>
      </c>
      <c r="G163" s="7" t="n">
        <v>60</v>
      </c>
      <c r="H163" s="22" t="n">
        <v>3</v>
      </c>
      <c r="I163" s="7" t="s">
        <v>279</v>
      </c>
      <c r="J163" s="7" t="s">
        <v>138</v>
      </c>
      <c r="K163" s="7" t="s">
        <v>139</v>
      </c>
      <c r="L163" s="7"/>
      <c r="M163" s="7" t="n">
        <v>0</v>
      </c>
      <c r="N163" s="7"/>
      <c r="O163" s="7"/>
      <c r="P163" s="7" t="s">
        <v>140</v>
      </c>
    </row>
    <row r="164" customFormat="false" ht="23.85" hidden="false" customHeight="false" outlineLevel="0" collapsed="false">
      <c r="A164" s="7" t="n">
        <v>15</v>
      </c>
      <c r="B164" s="21" t="n">
        <v>46405</v>
      </c>
      <c r="C164" s="7" t="s">
        <v>135</v>
      </c>
      <c r="D164" s="7" t="s">
        <v>90</v>
      </c>
      <c r="E164" s="24" t="s">
        <v>184</v>
      </c>
      <c r="F164" s="24" t="s">
        <v>229</v>
      </c>
      <c r="G164" s="7" t="n">
        <v>35</v>
      </c>
      <c r="H164" s="22" t="n">
        <v>5.8</v>
      </c>
      <c r="I164" s="7" t="s">
        <v>264</v>
      </c>
      <c r="J164" s="7" t="s">
        <v>231</v>
      </c>
      <c r="K164" s="7" t="s">
        <v>139</v>
      </c>
      <c r="L164" s="7" t="s">
        <v>146</v>
      </c>
      <c r="M164" s="7" t="n">
        <v>0</v>
      </c>
      <c r="N164" s="7"/>
      <c r="O164" s="7"/>
      <c r="P164" s="7" t="s">
        <v>147</v>
      </c>
    </row>
    <row r="165" customFormat="false" ht="35.05" hidden="false" customHeight="false" outlineLevel="0" collapsed="false">
      <c r="A165" s="7" t="n">
        <v>15</v>
      </c>
      <c r="B165" s="21" t="n">
        <v>46406</v>
      </c>
      <c r="C165" s="7" t="s">
        <v>141</v>
      </c>
      <c r="D165" s="7" t="s">
        <v>90</v>
      </c>
      <c r="E165" s="14" t="s">
        <v>40</v>
      </c>
      <c r="F165" s="14" t="s">
        <v>255</v>
      </c>
      <c r="G165" s="7" t="n">
        <v>75</v>
      </c>
      <c r="H165" s="22" t="n">
        <v>38</v>
      </c>
      <c r="I165" s="7" t="s">
        <v>280</v>
      </c>
      <c r="J165" s="7" t="s">
        <v>281</v>
      </c>
      <c r="K165" s="7" t="s">
        <v>152</v>
      </c>
      <c r="L165" s="7" t="s">
        <v>240</v>
      </c>
      <c r="M165" s="7" t="n">
        <v>45</v>
      </c>
      <c r="N165" s="7"/>
      <c r="O165" s="7"/>
      <c r="P165" s="7" t="s">
        <v>147</v>
      </c>
    </row>
    <row r="166" customFormat="false" ht="35.05" hidden="false" customHeight="false" outlineLevel="0" collapsed="false">
      <c r="A166" s="7" t="n">
        <v>15</v>
      </c>
      <c r="B166" s="21" t="n">
        <v>46406</v>
      </c>
      <c r="C166" s="7" t="s">
        <v>141</v>
      </c>
      <c r="D166" s="7" t="s">
        <v>90</v>
      </c>
      <c r="E166" s="23" t="s">
        <v>148</v>
      </c>
      <c r="F166" s="23" t="s">
        <v>282</v>
      </c>
      <c r="G166" s="7" t="n">
        <v>40</v>
      </c>
      <c r="H166" s="22"/>
      <c r="I166" s="7" t="s">
        <v>283</v>
      </c>
      <c r="J166" s="7" t="s">
        <v>151</v>
      </c>
      <c r="K166" s="7" t="s">
        <v>152</v>
      </c>
      <c r="L166" s="7"/>
      <c r="M166" s="7" t="n">
        <v>0</v>
      </c>
      <c r="N166" s="7"/>
      <c r="O166" s="7"/>
      <c r="P166" s="7" t="s">
        <v>153</v>
      </c>
    </row>
    <row r="167" customFormat="false" ht="23.85" hidden="false" customHeight="false" outlineLevel="0" collapsed="false">
      <c r="A167" s="7" t="n">
        <v>15</v>
      </c>
      <c r="B167" s="21" t="n">
        <v>46407</v>
      </c>
      <c r="C167" s="7" t="s">
        <v>154</v>
      </c>
      <c r="D167" s="7" t="s">
        <v>90</v>
      </c>
      <c r="E167" s="18" t="s">
        <v>42</v>
      </c>
      <c r="F167" s="18" t="s">
        <v>155</v>
      </c>
      <c r="G167" s="7" t="n">
        <v>60</v>
      </c>
      <c r="H167" s="22" t="n">
        <v>2.8</v>
      </c>
      <c r="I167" s="7" t="s">
        <v>284</v>
      </c>
      <c r="J167" s="7" t="s">
        <v>157</v>
      </c>
      <c r="K167" s="7" t="s">
        <v>152</v>
      </c>
      <c r="L167" s="7"/>
      <c r="M167" s="7" t="n">
        <v>29</v>
      </c>
      <c r="N167" s="7"/>
      <c r="O167" s="7"/>
      <c r="P167" s="7" t="s">
        <v>140</v>
      </c>
    </row>
    <row r="168" customFormat="false" ht="23.85" hidden="false" customHeight="false" outlineLevel="0" collapsed="false">
      <c r="A168" s="7" t="n">
        <v>15</v>
      </c>
      <c r="B168" s="21" t="n">
        <v>46407</v>
      </c>
      <c r="C168" s="7" t="s">
        <v>154</v>
      </c>
      <c r="D168" s="7" t="s">
        <v>90</v>
      </c>
      <c r="E168" s="24" t="s">
        <v>184</v>
      </c>
      <c r="F168" s="24" t="s">
        <v>259</v>
      </c>
      <c r="G168" s="7" t="n">
        <v>30</v>
      </c>
      <c r="H168" s="22" t="n">
        <v>5</v>
      </c>
      <c r="I168" s="7" t="s">
        <v>260</v>
      </c>
      <c r="J168" s="7" t="s">
        <v>231</v>
      </c>
      <c r="K168" s="7" t="s">
        <v>139</v>
      </c>
      <c r="L168" s="7" t="s">
        <v>146</v>
      </c>
      <c r="M168" s="7" t="n">
        <v>2</v>
      </c>
      <c r="N168" s="7"/>
      <c r="O168" s="7"/>
      <c r="P168" s="7" t="s">
        <v>147</v>
      </c>
    </row>
    <row r="169" customFormat="false" ht="23.85" hidden="false" customHeight="false" outlineLevel="0" collapsed="false">
      <c r="A169" s="7" t="n">
        <v>15</v>
      </c>
      <c r="B169" s="21" t="n">
        <v>46408</v>
      </c>
      <c r="C169" s="7" t="s">
        <v>158</v>
      </c>
      <c r="D169" s="7" t="s">
        <v>90</v>
      </c>
      <c r="E169" s="14" t="s">
        <v>40</v>
      </c>
      <c r="F169" s="14" t="s">
        <v>159</v>
      </c>
      <c r="G169" s="7" t="n">
        <v>75</v>
      </c>
      <c r="H169" s="22" t="n">
        <v>38</v>
      </c>
      <c r="I169" s="7" t="s">
        <v>285</v>
      </c>
      <c r="J169" s="7" t="s">
        <v>161</v>
      </c>
      <c r="K169" s="7" t="s">
        <v>139</v>
      </c>
      <c r="L169" s="7" t="s">
        <v>240</v>
      </c>
      <c r="M169" s="7" t="n">
        <v>0</v>
      </c>
      <c r="N169" s="7"/>
      <c r="O169" s="7"/>
      <c r="P169" s="7" t="s">
        <v>147</v>
      </c>
    </row>
    <row r="170" customFormat="false" ht="23.85" hidden="false" customHeight="false" outlineLevel="0" collapsed="false">
      <c r="A170" s="7" t="n">
        <v>15</v>
      </c>
      <c r="B170" s="21" t="n">
        <v>46409</v>
      </c>
      <c r="C170" s="7" t="s">
        <v>164</v>
      </c>
      <c r="D170" s="7" t="s">
        <v>90</v>
      </c>
      <c r="E170" s="18" t="s">
        <v>42</v>
      </c>
      <c r="F170" s="18" t="s">
        <v>165</v>
      </c>
      <c r="G170" s="7" t="n">
        <v>65</v>
      </c>
      <c r="H170" s="22" t="n">
        <v>3.2</v>
      </c>
      <c r="I170" s="7" t="s">
        <v>286</v>
      </c>
      <c r="J170" s="7" t="s">
        <v>138</v>
      </c>
      <c r="K170" s="7" t="s">
        <v>139</v>
      </c>
      <c r="L170" s="7"/>
      <c r="M170" s="7" t="n">
        <v>0</v>
      </c>
      <c r="N170" s="7"/>
      <c r="O170" s="7"/>
      <c r="P170" s="7" t="s">
        <v>140</v>
      </c>
    </row>
    <row r="171" customFormat="false" ht="35.05" hidden="false" customHeight="false" outlineLevel="0" collapsed="false">
      <c r="A171" s="7" t="n">
        <v>15</v>
      </c>
      <c r="B171" s="21" t="n">
        <v>46409</v>
      </c>
      <c r="C171" s="7" t="s">
        <v>164</v>
      </c>
      <c r="D171" s="7" t="s">
        <v>90</v>
      </c>
      <c r="E171" s="23" t="s">
        <v>148</v>
      </c>
      <c r="F171" s="23" t="s">
        <v>287</v>
      </c>
      <c r="G171" s="7" t="n">
        <v>30</v>
      </c>
      <c r="H171" s="22"/>
      <c r="I171" s="7" t="s">
        <v>288</v>
      </c>
      <c r="J171" s="7" t="s">
        <v>151</v>
      </c>
      <c r="K171" s="7" t="s">
        <v>152</v>
      </c>
      <c r="L171" s="7"/>
      <c r="M171" s="7" t="n">
        <v>0</v>
      </c>
      <c r="N171" s="7"/>
      <c r="O171" s="7"/>
      <c r="P171" s="7" t="s">
        <v>153</v>
      </c>
    </row>
    <row r="172" customFormat="false" ht="35.05" hidden="false" customHeight="false" outlineLevel="0" collapsed="false">
      <c r="A172" s="7" t="n">
        <v>15</v>
      </c>
      <c r="B172" s="21" t="n">
        <v>46410</v>
      </c>
      <c r="C172" s="7" t="s">
        <v>167</v>
      </c>
      <c r="D172" s="7" t="s">
        <v>90</v>
      </c>
      <c r="E172" s="14" t="s">
        <v>40</v>
      </c>
      <c r="F172" s="14" t="s">
        <v>168</v>
      </c>
      <c r="G172" s="7" t="n">
        <v>225</v>
      </c>
      <c r="H172" s="22" t="n">
        <v>112</v>
      </c>
      <c r="I172" s="7" t="s">
        <v>289</v>
      </c>
      <c r="J172" s="7" t="s">
        <v>290</v>
      </c>
      <c r="K172" s="7" t="s">
        <v>139</v>
      </c>
      <c r="L172" s="7" t="s">
        <v>291</v>
      </c>
      <c r="M172" s="7" t="n">
        <v>0</v>
      </c>
      <c r="N172" s="7"/>
      <c r="O172" s="7"/>
      <c r="P172" s="7" t="s">
        <v>147</v>
      </c>
    </row>
    <row r="173" customFormat="false" ht="35.05" hidden="false" customHeight="false" outlineLevel="0" collapsed="false">
      <c r="A173" s="7" t="n">
        <v>15</v>
      </c>
      <c r="B173" s="21" t="n">
        <v>46410</v>
      </c>
      <c r="C173" s="7" t="s">
        <v>167</v>
      </c>
      <c r="D173" s="7" t="s">
        <v>90</v>
      </c>
      <c r="E173" s="24" t="s">
        <v>184</v>
      </c>
      <c r="F173" s="24" t="s">
        <v>243</v>
      </c>
      <c r="G173" s="7" t="n">
        <v>15</v>
      </c>
      <c r="H173" s="22" t="n">
        <v>2.5</v>
      </c>
      <c r="I173" s="7" t="s">
        <v>292</v>
      </c>
      <c r="J173" s="7" t="s">
        <v>231</v>
      </c>
      <c r="K173" s="7" t="s">
        <v>245</v>
      </c>
      <c r="L173" s="7" t="s">
        <v>146</v>
      </c>
      <c r="M173" s="7" t="n">
        <v>0</v>
      </c>
      <c r="N173" s="7"/>
      <c r="O173" s="7"/>
      <c r="P173" s="7" t="s">
        <v>246</v>
      </c>
    </row>
    <row r="174" customFormat="false" ht="23.85" hidden="false" customHeight="false" outlineLevel="0" collapsed="false">
      <c r="A174" s="7" t="n">
        <v>15</v>
      </c>
      <c r="B174" s="21" t="n">
        <v>46411</v>
      </c>
      <c r="C174" s="7" t="s">
        <v>172</v>
      </c>
      <c r="D174" s="7" t="s">
        <v>90</v>
      </c>
      <c r="E174" s="14" t="s">
        <v>40</v>
      </c>
      <c r="F174" s="14" t="s">
        <v>173</v>
      </c>
      <c r="G174" s="7" t="n">
        <v>35</v>
      </c>
      <c r="H174" s="22" t="n">
        <v>16</v>
      </c>
      <c r="I174" s="7" t="s">
        <v>238</v>
      </c>
      <c r="J174" s="7" t="s">
        <v>175</v>
      </c>
      <c r="K174" s="7" t="s">
        <v>176</v>
      </c>
      <c r="L174" s="7" t="s">
        <v>146</v>
      </c>
      <c r="M174" s="7" t="n">
        <v>0</v>
      </c>
      <c r="N174" s="7"/>
      <c r="O174" s="7"/>
      <c r="P174" s="7" t="s">
        <v>147</v>
      </c>
    </row>
    <row r="175" customFormat="false" ht="35.05" hidden="false" customHeight="false" outlineLevel="0" collapsed="false">
      <c r="A175" s="7" t="n">
        <v>15</v>
      </c>
      <c r="B175" s="21" t="n">
        <v>46411</v>
      </c>
      <c r="C175" s="7" t="s">
        <v>172</v>
      </c>
      <c r="D175" s="7" t="s">
        <v>90</v>
      </c>
      <c r="E175" s="24" t="s">
        <v>184</v>
      </c>
      <c r="F175" s="24" t="s">
        <v>247</v>
      </c>
      <c r="G175" s="7" t="n">
        <v>72</v>
      </c>
      <c r="H175" s="22" t="n">
        <v>12</v>
      </c>
      <c r="I175" s="7" t="s">
        <v>293</v>
      </c>
      <c r="J175" s="7" t="s">
        <v>231</v>
      </c>
      <c r="K175" s="7" t="s">
        <v>139</v>
      </c>
      <c r="L175" s="7" t="s">
        <v>249</v>
      </c>
      <c r="M175" s="7" t="n">
        <v>0</v>
      </c>
      <c r="N175" s="7"/>
      <c r="O175" s="7"/>
      <c r="P175" s="7" t="s">
        <v>147</v>
      </c>
    </row>
    <row r="176" customFormat="false" ht="23.85" hidden="false" customHeight="false" outlineLevel="0" collapsed="false">
      <c r="A176" s="7" t="n">
        <v>16</v>
      </c>
      <c r="B176" s="21" t="n">
        <v>46412</v>
      </c>
      <c r="C176" s="7" t="s">
        <v>135</v>
      </c>
      <c r="D176" s="7" t="s">
        <v>90</v>
      </c>
      <c r="E176" s="18" t="s">
        <v>42</v>
      </c>
      <c r="F176" s="18" t="s">
        <v>136</v>
      </c>
      <c r="G176" s="7" t="n">
        <v>60</v>
      </c>
      <c r="H176" s="22" t="n">
        <v>3</v>
      </c>
      <c r="I176" s="7" t="s">
        <v>279</v>
      </c>
      <c r="J176" s="7" t="s">
        <v>138</v>
      </c>
      <c r="K176" s="7" t="s">
        <v>139</v>
      </c>
      <c r="L176" s="7"/>
      <c r="M176" s="7" t="n">
        <v>0</v>
      </c>
      <c r="N176" s="7"/>
      <c r="O176" s="7"/>
      <c r="P176" s="7" t="s">
        <v>140</v>
      </c>
    </row>
    <row r="177" customFormat="false" ht="23.85" hidden="false" customHeight="false" outlineLevel="0" collapsed="false">
      <c r="A177" s="7" t="n">
        <v>16</v>
      </c>
      <c r="B177" s="21" t="n">
        <v>46412</v>
      </c>
      <c r="C177" s="7" t="s">
        <v>135</v>
      </c>
      <c r="D177" s="7" t="s">
        <v>90</v>
      </c>
      <c r="E177" s="24" t="s">
        <v>184</v>
      </c>
      <c r="F177" s="24" t="s">
        <v>259</v>
      </c>
      <c r="G177" s="7" t="n">
        <v>30</v>
      </c>
      <c r="H177" s="22" t="n">
        <v>5</v>
      </c>
      <c r="I177" s="7" t="s">
        <v>260</v>
      </c>
      <c r="J177" s="7" t="s">
        <v>231</v>
      </c>
      <c r="K177" s="7" t="s">
        <v>139</v>
      </c>
      <c r="L177" s="7" t="s">
        <v>146</v>
      </c>
      <c r="M177" s="7" t="n">
        <v>2</v>
      </c>
      <c r="N177" s="7"/>
      <c r="O177" s="7"/>
      <c r="P177" s="7" t="s">
        <v>147</v>
      </c>
    </row>
    <row r="178" customFormat="false" ht="35.05" hidden="false" customHeight="false" outlineLevel="0" collapsed="false">
      <c r="A178" s="7" t="n">
        <v>16</v>
      </c>
      <c r="B178" s="21" t="n">
        <v>46413</v>
      </c>
      <c r="C178" s="7" t="s">
        <v>141</v>
      </c>
      <c r="D178" s="7" t="s">
        <v>90</v>
      </c>
      <c r="E178" s="14" t="s">
        <v>40</v>
      </c>
      <c r="F178" s="14" t="s">
        <v>255</v>
      </c>
      <c r="G178" s="7" t="n">
        <v>75</v>
      </c>
      <c r="H178" s="22" t="n">
        <v>38</v>
      </c>
      <c r="I178" s="7" t="s">
        <v>294</v>
      </c>
      <c r="J178" s="7" t="s">
        <v>281</v>
      </c>
      <c r="K178" s="7" t="s">
        <v>152</v>
      </c>
      <c r="L178" s="7" t="s">
        <v>240</v>
      </c>
      <c r="M178" s="7" t="n">
        <v>40</v>
      </c>
      <c r="N178" s="7"/>
      <c r="O178" s="7"/>
      <c r="P178" s="7" t="s">
        <v>147</v>
      </c>
    </row>
    <row r="179" customFormat="false" ht="35.05" hidden="false" customHeight="false" outlineLevel="0" collapsed="false">
      <c r="A179" s="7" t="n">
        <v>16</v>
      </c>
      <c r="B179" s="21" t="n">
        <v>46413</v>
      </c>
      <c r="C179" s="7" t="s">
        <v>141</v>
      </c>
      <c r="D179" s="7" t="s">
        <v>90</v>
      </c>
      <c r="E179" s="23" t="s">
        <v>148</v>
      </c>
      <c r="F179" s="23" t="s">
        <v>282</v>
      </c>
      <c r="G179" s="7" t="n">
        <v>40</v>
      </c>
      <c r="H179" s="22"/>
      <c r="I179" s="7" t="s">
        <v>283</v>
      </c>
      <c r="J179" s="7" t="s">
        <v>151</v>
      </c>
      <c r="K179" s="7" t="s">
        <v>152</v>
      </c>
      <c r="L179" s="7"/>
      <c r="M179" s="7" t="n">
        <v>0</v>
      </c>
      <c r="N179" s="7"/>
      <c r="O179" s="7"/>
      <c r="P179" s="7" t="s">
        <v>153</v>
      </c>
    </row>
    <row r="180" customFormat="false" ht="23.85" hidden="false" customHeight="false" outlineLevel="0" collapsed="false">
      <c r="A180" s="7" t="n">
        <v>16</v>
      </c>
      <c r="B180" s="21" t="n">
        <v>46414</v>
      </c>
      <c r="C180" s="7" t="s">
        <v>154</v>
      </c>
      <c r="D180" s="7" t="s">
        <v>90</v>
      </c>
      <c r="E180" s="18" t="s">
        <v>42</v>
      </c>
      <c r="F180" s="18" t="s">
        <v>155</v>
      </c>
      <c r="G180" s="7" t="n">
        <v>65</v>
      </c>
      <c r="H180" s="22" t="n">
        <v>3.1</v>
      </c>
      <c r="I180" s="7" t="s">
        <v>295</v>
      </c>
      <c r="J180" s="7" t="s">
        <v>157</v>
      </c>
      <c r="K180" s="7" t="s">
        <v>152</v>
      </c>
      <c r="L180" s="7"/>
      <c r="M180" s="7" t="n">
        <v>33</v>
      </c>
      <c r="N180" s="7"/>
      <c r="O180" s="7"/>
      <c r="P180" s="7" t="s">
        <v>140</v>
      </c>
    </row>
    <row r="181" customFormat="false" ht="35.05" hidden="false" customHeight="false" outlineLevel="0" collapsed="false">
      <c r="A181" s="7" t="n">
        <v>16</v>
      </c>
      <c r="B181" s="21" t="n">
        <v>46414</v>
      </c>
      <c r="C181" s="7" t="s">
        <v>154</v>
      </c>
      <c r="D181" s="7" t="s">
        <v>90</v>
      </c>
      <c r="E181" s="24" t="s">
        <v>184</v>
      </c>
      <c r="F181" s="24" t="s">
        <v>296</v>
      </c>
      <c r="G181" s="7" t="n">
        <v>40</v>
      </c>
      <c r="H181" s="22" t="n">
        <v>6.7</v>
      </c>
      <c r="I181" s="7" t="s">
        <v>297</v>
      </c>
      <c r="J181" s="7" t="s">
        <v>298</v>
      </c>
      <c r="K181" s="7" t="s">
        <v>299</v>
      </c>
      <c r="L181" s="7" t="s">
        <v>146</v>
      </c>
      <c r="M181" s="7" t="n">
        <v>16</v>
      </c>
      <c r="N181" s="7"/>
      <c r="O181" s="7"/>
      <c r="P181" s="7" t="s">
        <v>147</v>
      </c>
    </row>
    <row r="182" customFormat="false" ht="23.85" hidden="false" customHeight="false" outlineLevel="0" collapsed="false">
      <c r="A182" s="7" t="n">
        <v>16</v>
      </c>
      <c r="B182" s="21" t="n">
        <v>46415</v>
      </c>
      <c r="C182" s="7" t="s">
        <v>158</v>
      </c>
      <c r="D182" s="7" t="s">
        <v>90</v>
      </c>
      <c r="E182" s="14" t="s">
        <v>40</v>
      </c>
      <c r="F182" s="14" t="s">
        <v>159</v>
      </c>
      <c r="G182" s="7" t="n">
        <v>80</v>
      </c>
      <c r="H182" s="22" t="n">
        <v>40</v>
      </c>
      <c r="I182" s="7" t="s">
        <v>300</v>
      </c>
      <c r="J182" s="7" t="s">
        <v>161</v>
      </c>
      <c r="K182" s="7" t="s">
        <v>139</v>
      </c>
      <c r="L182" s="7" t="s">
        <v>240</v>
      </c>
      <c r="M182" s="7" t="n">
        <v>0</v>
      </c>
      <c r="N182" s="7"/>
      <c r="O182" s="7"/>
      <c r="P182" s="7" t="s">
        <v>147</v>
      </c>
    </row>
    <row r="183" customFormat="false" ht="23.85" hidden="false" customHeight="false" outlineLevel="0" collapsed="false">
      <c r="A183" s="7" t="n">
        <v>16</v>
      </c>
      <c r="B183" s="21" t="n">
        <v>46416</v>
      </c>
      <c r="C183" s="7" t="s">
        <v>164</v>
      </c>
      <c r="D183" s="7" t="s">
        <v>90</v>
      </c>
      <c r="E183" s="18" t="s">
        <v>42</v>
      </c>
      <c r="F183" s="18" t="s">
        <v>165</v>
      </c>
      <c r="G183" s="7" t="n">
        <v>65</v>
      </c>
      <c r="H183" s="22" t="n">
        <v>3.2</v>
      </c>
      <c r="I183" s="7" t="s">
        <v>286</v>
      </c>
      <c r="J183" s="7" t="s">
        <v>138</v>
      </c>
      <c r="K183" s="7" t="s">
        <v>139</v>
      </c>
      <c r="L183" s="7"/>
      <c r="M183" s="7" t="n">
        <v>0</v>
      </c>
      <c r="N183" s="7"/>
      <c r="O183" s="7"/>
      <c r="P183" s="7" t="s">
        <v>140</v>
      </c>
    </row>
    <row r="184" customFormat="false" ht="35.05" hidden="false" customHeight="false" outlineLevel="0" collapsed="false">
      <c r="A184" s="7" t="n">
        <v>16</v>
      </c>
      <c r="B184" s="21" t="n">
        <v>46416</v>
      </c>
      <c r="C184" s="7" t="s">
        <v>164</v>
      </c>
      <c r="D184" s="7" t="s">
        <v>90</v>
      </c>
      <c r="E184" s="23" t="s">
        <v>148</v>
      </c>
      <c r="F184" s="23" t="s">
        <v>287</v>
      </c>
      <c r="G184" s="7" t="n">
        <v>30</v>
      </c>
      <c r="H184" s="22"/>
      <c r="I184" s="7" t="s">
        <v>288</v>
      </c>
      <c r="J184" s="7" t="s">
        <v>151</v>
      </c>
      <c r="K184" s="7" t="s">
        <v>152</v>
      </c>
      <c r="L184" s="7"/>
      <c r="M184" s="7" t="n">
        <v>0</v>
      </c>
      <c r="N184" s="7"/>
      <c r="O184" s="7"/>
      <c r="P184" s="7" t="s">
        <v>153</v>
      </c>
    </row>
    <row r="185" customFormat="false" ht="35.05" hidden="false" customHeight="false" outlineLevel="0" collapsed="false">
      <c r="A185" s="7" t="n">
        <v>16</v>
      </c>
      <c r="B185" s="21" t="n">
        <v>46417</v>
      </c>
      <c r="C185" s="7" t="s">
        <v>167</v>
      </c>
      <c r="D185" s="7" t="s">
        <v>90</v>
      </c>
      <c r="E185" s="14" t="s">
        <v>40</v>
      </c>
      <c r="F185" s="14" t="s">
        <v>168</v>
      </c>
      <c r="G185" s="7" t="n">
        <v>240</v>
      </c>
      <c r="H185" s="22" t="n">
        <v>120</v>
      </c>
      <c r="I185" s="7" t="s">
        <v>301</v>
      </c>
      <c r="J185" s="7" t="s">
        <v>290</v>
      </c>
      <c r="K185" s="7" t="s">
        <v>139</v>
      </c>
      <c r="L185" s="7" t="s">
        <v>291</v>
      </c>
      <c r="M185" s="7" t="n">
        <v>0</v>
      </c>
      <c r="N185" s="7"/>
      <c r="O185" s="7"/>
      <c r="P185" s="7" t="s">
        <v>147</v>
      </c>
    </row>
    <row r="186" customFormat="false" ht="35.05" hidden="false" customHeight="false" outlineLevel="0" collapsed="false">
      <c r="A186" s="7" t="n">
        <v>16</v>
      </c>
      <c r="B186" s="21" t="n">
        <v>46417</v>
      </c>
      <c r="C186" s="7" t="s">
        <v>167</v>
      </c>
      <c r="D186" s="7" t="s">
        <v>90</v>
      </c>
      <c r="E186" s="24" t="s">
        <v>184</v>
      </c>
      <c r="F186" s="24" t="s">
        <v>243</v>
      </c>
      <c r="G186" s="7" t="n">
        <v>15</v>
      </c>
      <c r="H186" s="22" t="n">
        <v>2.5</v>
      </c>
      <c r="I186" s="7" t="s">
        <v>292</v>
      </c>
      <c r="J186" s="7" t="s">
        <v>231</v>
      </c>
      <c r="K186" s="7" t="s">
        <v>245</v>
      </c>
      <c r="L186" s="7" t="s">
        <v>146</v>
      </c>
      <c r="M186" s="7" t="n">
        <v>0</v>
      </c>
      <c r="N186" s="7"/>
      <c r="O186" s="7"/>
      <c r="P186" s="7" t="s">
        <v>246</v>
      </c>
    </row>
    <row r="187" customFormat="false" ht="23.85" hidden="false" customHeight="false" outlineLevel="0" collapsed="false">
      <c r="A187" s="7" t="n">
        <v>16</v>
      </c>
      <c r="B187" s="21" t="n">
        <v>46418</v>
      </c>
      <c r="C187" s="7" t="s">
        <v>172</v>
      </c>
      <c r="D187" s="7" t="s">
        <v>90</v>
      </c>
      <c r="E187" s="14" t="s">
        <v>40</v>
      </c>
      <c r="F187" s="14" t="s">
        <v>173</v>
      </c>
      <c r="G187" s="7" t="n">
        <v>35</v>
      </c>
      <c r="H187" s="22" t="n">
        <v>16</v>
      </c>
      <c r="I187" s="7" t="s">
        <v>238</v>
      </c>
      <c r="J187" s="7" t="s">
        <v>175</v>
      </c>
      <c r="K187" s="7" t="s">
        <v>176</v>
      </c>
      <c r="L187" s="7" t="s">
        <v>146</v>
      </c>
      <c r="M187" s="7" t="n">
        <v>0</v>
      </c>
      <c r="N187" s="7"/>
      <c r="O187" s="7"/>
      <c r="P187" s="7" t="s">
        <v>147</v>
      </c>
    </row>
    <row r="188" customFormat="false" ht="35.05" hidden="false" customHeight="false" outlineLevel="0" collapsed="false">
      <c r="A188" s="7" t="n">
        <v>16</v>
      </c>
      <c r="B188" s="21" t="n">
        <v>46418</v>
      </c>
      <c r="C188" s="7" t="s">
        <v>172</v>
      </c>
      <c r="D188" s="7" t="s">
        <v>90</v>
      </c>
      <c r="E188" s="24" t="s">
        <v>184</v>
      </c>
      <c r="F188" s="24" t="s">
        <v>247</v>
      </c>
      <c r="G188" s="7" t="n">
        <v>78</v>
      </c>
      <c r="H188" s="22" t="n">
        <v>13</v>
      </c>
      <c r="I188" s="7" t="s">
        <v>302</v>
      </c>
      <c r="J188" s="7" t="s">
        <v>231</v>
      </c>
      <c r="K188" s="7" t="s">
        <v>139</v>
      </c>
      <c r="L188" s="7" t="s">
        <v>303</v>
      </c>
      <c r="M188" s="7" t="n">
        <v>0</v>
      </c>
      <c r="N188" s="7"/>
      <c r="O188" s="7"/>
      <c r="P188" s="7" t="s">
        <v>147</v>
      </c>
    </row>
    <row r="189" customFormat="false" ht="23.85" hidden="false" customHeight="false" outlineLevel="0" collapsed="false">
      <c r="A189" s="7" t="n">
        <v>17</v>
      </c>
      <c r="B189" s="21" t="n">
        <v>46419</v>
      </c>
      <c r="C189" s="7" t="s">
        <v>135</v>
      </c>
      <c r="D189" s="7" t="s">
        <v>90</v>
      </c>
      <c r="E189" s="14" t="s">
        <v>40</v>
      </c>
      <c r="F189" s="14" t="s">
        <v>173</v>
      </c>
      <c r="G189" s="7" t="n">
        <v>45</v>
      </c>
      <c r="H189" s="22" t="n">
        <v>20</v>
      </c>
      <c r="I189" s="7" t="s">
        <v>304</v>
      </c>
      <c r="J189" s="7" t="s">
        <v>175</v>
      </c>
      <c r="K189" s="7" t="s">
        <v>176</v>
      </c>
      <c r="L189" s="7" t="s">
        <v>146</v>
      </c>
      <c r="M189" s="7" t="n">
        <v>0</v>
      </c>
      <c r="N189" s="7"/>
      <c r="O189" s="7"/>
      <c r="P189" s="7" t="s">
        <v>147</v>
      </c>
    </row>
    <row r="190" customFormat="false" ht="23.85" hidden="false" customHeight="false" outlineLevel="0" collapsed="false">
      <c r="A190" s="7" t="n">
        <v>17</v>
      </c>
      <c r="B190" s="21" t="n">
        <v>46419</v>
      </c>
      <c r="C190" s="7" t="s">
        <v>135</v>
      </c>
      <c r="D190" s="7" t="s">
        <v>90</v>
      </c>
      <c r="E190" s="24" t="s">
        <v>184</v>
      </c>
      <c r="F190" s="24" t="s">
        <v>259</v>
      </c>
      <c r="G190" s="7" t="n">
        <v>30</v>
      </c>
      <c r="H190" s="22" t="n">
        <v>5</v>
      </c>
      <c r="I190" s="7" t="s">
        <v>260</v>
      </c>
      <c r="J190" s="7" t="s">
        <v>231</v>
      </c>
      <c r="K190" s="7" t="s">
        <v>139</v>
      </c>
      <c r="L190" s="7" t="s">
        <v>146</v>
      </c>
      <c r="M190" s="7" t="n">
        <v>2</v>
      </c>
      <c r="N190" s="7"/>
      <c r="O190" s="7"/>
      <c r="P190" s="7" t="s">
        <v>153</v>
      </c>
    </row>
    <row r="191" customFormat="false" ht="35.05" hidden="false" customHeight="false" outlineLevel="0" collapsed="false">
      <c r="A191" s="7" t="n">
        <v>17</v>
      </c>
      <c r="B191" s="21" t="n">
        <v>46420</v>
      </c>
      <c r="C191" s="7" t="s">
        <v>141</v>
      </c>
      <c r="D191" s="7" t="s">
        <v>90</v>
      </c>
      <c r="E191" s="14" t="s">
        <v>40</v>
      </c>
      <c r="F191" s="14" t="s">
        <v>255</v>
      </c>
      <c r="G191" s="7" t="n">
        <v>75</v>
      </c>
      <c r="H191" s="22" t="n">
        <v>38</v>
      </c>
      <c r="I191" s="7" t="s">
        <v>305</v>
      </c>
      <c r="J191" s="7" t="s">
        <v>306</v>
      </c>
      <c r="K191" s="7" t="s">
        <v>152</v>
      </c>
      <c r="L191" s="7" t="s">
        <v>240</v>
      </c>
      <c r="M191" s="7" t="n">
        <v>45</v>
      </c>
      <c r="N191" s="7"/>
      <c r="O191" s="7"/>
      <c r="P191" s="7" t="s">
        <v>147</v>
      </c>
    </row>
    <row r="192" customFormat="false" ht="35.05" hidden="false" customHeight="false" outlineLevel="0" collapsed="false">
      <c r="A192" s="7" t="n">
        <v>17</v>
      </c>
      <c r="B192" s="21" t="n">
        <v>46420</v>
      </c>
      <c r="C192" s="7" t="s">
        <v>141</v>
      </c>
      <c r="D192" s="7" t="s">
        <v>90</v>
      </c>
      <c r="E192" s="23" t="s">
        <v>148</v>
      </c>
      <c r="F192" s="23" t="s">
        <v>282</v>
      </c>
      <c r="G192" s="7" t="n">
        <v>40</v>
      </c>
      <c r="H192" s="22"/>
      <c r="I192" s="7" t="s">
        <v>283</v>
      </c>
      <c r="J192" s="7" t="s">
        <v>151</v>
      </c>
      <c r="K192" s="7" t="s">
        <v>152</v>
      </c>
      <c r="L192" s="7"/>
      <c r="M192" s="7" t="n">
        <v>0</v>
      </c>
      <c r="N192" s="7"/>
      <c r="O192" s="7"/>
      <c r="P192" s="7" t="s">
        <v>153</v>
      </c>
    </row>
    <row r="193" customFormat="false" ht="23.85" hidden="false" customHeight="false" outlineLevel="0" collapsed="false">
      <c r="A193" s="7" t="n">
        <v>17</v>
      </c>
      <c r="B193" s="21" t="n">
        <v>46421</v>
      </c>
      <c r="C193" s="7" t="s">
        <v>154</v>
      </c>
      <c r="D193" s="7" t="s">
        <v>90</v>
      </c>
      <c r="E193" s="18" t="s">
        <v>42</v>
      </c>
      <c r="F193" s="18" t="s">
        <v>155</v>
      </c>
      <c r="G193" s="7" t="n">
        <v>65</v>
      </c>
      <c r="H193" s="22" t="n">
        <v>3.1</v>
      </c>
      <c r="I193" s="7" t="s">
        <v>295</v>
      </c>
      <c r="J193" s="7" t="s">
        <v>157</v>
      </c>
      <c r="K193" s="7" t="s">
        <v>152</v>
      </c>
      <c r="L193" s="7"/>
      <c r="M193" s="7" t="n">
        <v>33</v>
      </c>
      <c r="N193" s="7"/>
      <c r="O193" s="7"/>
      <c r="P193" s="7" t="s">
        <v>140</v>
      </c>
    </row>
    <row r="194" customFormat="false" ht="35.05" hidden="false" customHeight="false" outlineLevel="0" collapsed="false">
      <c r="A194" s="7" t="n">
        <v>17</v>
      </c>
      <c r="B194" s="21" t="n">
        <v>46421</v>
      </c>
      <c r="C194" s="7" t="s">
        <v>154</v>
      </c>
      <c r="D194" s="7" t="s">
        <v>90</v>
      </c>
      <c r="E194" s="24" t="s">
        <v>184</v>
      </c>
      <c r="F194" s="24" t="s">
        <v>296</v>
      </c>
      <c r="G194" s="7" t="n">
        <v>40</v>
      </c>
      <c r="H194" s="22" t="n">
        <v>6.7</v>
      </c>
      <c r="I194" s="7" t="s">
        <v>307</v>
      </c>
      <c r="J194" s="7" t="s">
        <v>298</v>
      </c>
      <c r="K194" s="7" t="s">
        <v>299</v>
      </c>
      <c r="L194" s="7" t="s">
        <v>146</v>
      </c>
      <c r="M194" s="7" t="n">
        <v>20</v>
      </c>
      <c r="N194" s="7"/>
      <c r="O194" s="7"/>
      <c r="P194" s="7" t="s">
        <v>147</v>
      </c>
    </row>
    <row r="195" customFormat="false" ht="23.85" hidden="false" customHeight="false" outlineLevel="0" collapsed="false">
      <c r="A195" s="7" t="n">
        <v>17</v>
      </c>
      <c r="B195" s="21" t="n">
        <v>46422</v>
      </c>
      <c r="C195" s="7" t="s">
        <v>158</v>
      </c>
      <c r="D195" s="7" t="s">
        <v>90</v>
      </c>
      <c r="E195" s="14" t="s">
        <v>40</v>
      </c>
      <c r="F195" s="14" t="s">
        <v>159</v>
      </c>
      <c r="G195" s="7" t="n">
        <v>85</v>
      </c>
      <c r="H195" s="22" t="n">
        <v>42</v>
      </c>
      <c r="I195" s="7" t="s">
        <v>308</v>
      </c>
      <c r="J195" s="7" t="s">
        <v>161</v>
      </c>
      <c r="K195" s="7" t="s">
        <v>139</v>
      </c>
      <c r="L195" s="7" t="s">
        <v>240</v>
      </c>
      <c r="M195" s="7" t="n">
        <v>0</v>
      </c>
      <c r="N195" s="7"/>
      <c r="O195" s="7"/>
      <c r="P195" s="7" t="s">
        <v>147</v>
      </c>
    </row>
    <row r="196" customFormat="false" ht="23.85" hidden="false" customHeight="false" outlineLevel="0" collapsed="false">
      <c r="A196" s="7" t="n">
        <v>17</v>
      </c>
      <c r="B196" s="21" t="n">
        <v>46423</v>
      </c>
      <c r="C196" s="7" t="s">
        <v>164</v>
      </c>
      <c r="D196" s="7" t="s">
        <v>90</v>
      </c>
      <c r="E196" s="18" t="s">
        <v>42</v>
      </c>
      <c r="F196" s="18" t="s">
        <v>165</v>
      </c>
      <c r="G196" s="7" t="n">
        <v>70</v>
      </c>
      <c r="H196" s="22" t="n">
        <v>3.5</v>
      </c>
      <c r="I196" s="7" t="s">
        <v>309</v>
      </c>
      <c r="J196" s="7" t="s">
        <v>138</v>
      </c>
      <c r="K196" s="7" t="s">
        <v>139</v>
      </c>
      <c r="L196" s="7"/>
      <c r="M196" s="7" t="n">
        <v>0</v>
      </c>
      <c r="N196" s="7"/>
      <c r="O196" s="7"/>
      <c r="P196" s="7" t="s">
        <v>140</v>
      </c>
    </row>
    <row r="197" customFormat="false" ht="35.05" hidden="false" customHeight="false" outlineLevel="0" collapsed="false">
      <c r="A197" s="7" t="n">
        <v>17</v>
      </c>
      <c r="B197" s="21" t="n">
        <v>46423</v>
      </c>
      <c r="C197" s="7" t="s">
        <v>164</v>
      </c>
      <c r="D197" s="7" t="s">
        <v>90</v>
      </c>
      <c r="E197" s="23" t="s">
        <v>148</v>
      </c>
      <c r="F197" s="23" t="s">
        <v>287</v>
      </c>
      <c r="G197" s="7" t="n">
        <v>30</v>
      </c>
      <c r="H197" s="22"/>
      <c r="I197" s="7" t="s">
        <v>288</v>
      </c>
      <c r="J197" s="7" t="s">
        <v>151</v>
      </c>
      <c r="K197" s="7" t="s">
        <v>152</v>
      </c>
      <c r="L197" s="7"/>
      <c r="M197" s="7" t="n">
        <v>0</v>
      </c>
      <c r="N197" s="7"/>
      <c r="O197" s="7"/>
      <c r="P197" s="7" t="s">
        <v>153</v>
      </c>
    </row>
    <row r="198" customFormat="false" ht="35.05" hidden="false" customHeight="false" outlineLevel="0" collapsed="false">
      <c r="A198" s="7" t="n">
        <v>17</v>
      </c>
      <c r="B198" s="21" t="n">
        <v>46424</v>
      </c>
      <c r="C198" s="7" t="s">
        <v>167</v>
      </c>
      <c r="D198" s="7" t="s">
        <v>90</v>
      </c>
      <c r="E198" s="14" t="s">
        <v>40</v>
      </c>
      <c r="F198" s="14" t="s">
        <v>168</v>
      </c>
      <c r="G198" s="7" t="n">
        <v>255</v>
      </c>
      <c r="H198" s="22" t="n">
        <v>128</v>
      </c>
      <c r="I198" s="7" t="s">
        <v>310</v>
      </c>
      <c r="J198" s="7" t="s">
        <v>290</v>
      </c>
      <c r="K198" s="7" t="s">
        <v>139</v>
      </c>
      <c r="L198" s="7" t="s">
        <v>291</v>
      </c>
      <c r="M198" s="7" t="n">
        <v>0</v>
      </c>
      <c r="N198" s="7"/>
      <c r="O198" s="7"/>
      <c r="P198" s="7" t="s">
        <v>147</v>
      </c>
    </row>
    <row r="199" customFormat="false" ht="35.05" hidden="false" customHeight="false" outlineLevel="0" collapsed="false">
      <c r="A199" s="7" t="n">
        <v>17</v>
      </c>
      <c r="B199" s="21" t="n">
        <v>46424</v>
      </c>
      <c r="C199" s="7" t="s">
        <v>167</v>
      </c>
      <c r="D199" s="7" t="s">
        <v>90</v>
      </c>
      <c r="E199" s="24" t="s">
        <v>184</v>
      </c>
      <c r="F199" s="24" t="s">
        <v>243</v>
      </c>
      <c r="G199" s="7" t="n">
        <v>20</v>
      </c>
      <c r="H199" s="22" t="n">
        <v>3.3</v>
      </c>
      <c r="I199" s="7" t="s">
        <v>311</v>
      </c>
      <c r="J199" s="7" t="s">
        <v>231</v>
      </c>
      <c r="K199" s="7" t="s">
        <v>245</v>
      </c>
      <c r="L199" s="7" t="s">
        <v>146</v>
      </c>
      <c r="M199" s="7" t="n">
        <v>0</v>
      </c>
      <c r="N199" s="7"/>
      <c r="O199" s="7"/>
      <c r="P199" s="7" t="s">
        <v>246</v>
      </c>
    </row>
    <row r="200" customFormat="false" ht="35.05" hidden="false" customHeight="false" outlineLevel="0" collapsed="false">
      <c r="A200" s="7" t="n">
        <v>17</v>
      </c>
      <c r="B200" s="21" t="n">
        <v>46425</v>
      </c>
      <c r="C200" s="7" t="s">
        <v>172</v>
      </c>
      <c r="D200" s="7" t="s">
        <v>90</v>
      </c>
      <c r="E200" s="18" t="s">
        <v>42</v>
      </c>
      <c r="F200" s="18" t="s">
        <v>312</v>
      </c>
      <c r="G200" s="7" t="n">
        <v>40</v>
      </c>
      <c r="H200" s="22" t="n">
        <v>1.8</v>
      </c>
      <c r="I200" s="7" t="s">
        <v>313</v>
      </c>
      <c r="J200" s="7" t="s">
        <v>314</v>
      </c>
      <c r="K200" s="7" t="s">
        <v>139</v>
      </c>
      <c r="L200" s="7"/>
      <c r="M200" s="7" t="n">
        <v>4</v>
      </c>
      <c r="N200" s="7"/>
      <c r="O200" s="7"/>
      <c r="P200" s="7" t="s">
        <v>262</v>
      </c>
    </row>
    <row r="201" customFormat="false" ht="35.05" hidden="false" customHeight="false" outlineLevel="0" collapsed="false">
      <c r="A201" s="7" t="n">
        <v>17</v>
      </c>
      <c r="B201" s="21" t="n">
        <v>46425</v>
      </c>
      <c r="C201" s="7" t="s">
        <v>172</v>
      </c>
      <c r="D201" s="7" t="s">
        <v>90</v>
      </c>
      <c r="E201" s="24" t="s">
        <v>184</v>
      </c>
      <c r="F201" s="24" t="s">
        <v>247</v>
      </c>
      <c r="G201" s="7" t="n">
        <v>84</v>
      </c>
      <c r="H201" s="22" t="n">
        <v>14</v>
      </c>
      <c r="I201" s="7" t="s">
        <v>315</v>
      </c>
      <c r="J201" s="7" t="s">
        <v>231</v>
      </c>
      <c r="K201" s="7" t="s">
        <v>139</v>
      </c>
      <c r="L201" s="7" t="s">
        <v>303</v>
      </c>
      <c r="M201" s="7" t="n">
        <v>0</v>
      </c>
      <c r="N201" s="7"/>
      <c r="O201" s="7"/>
      <c r="P201" s="7" t="s">
        <v>147</v>
      </c>
    </row>
    <row r="202" customFormat="false" ht="23.85" hidden="false" customHeight="false" outlineLevel="0" collapsed="false">
      <c r="A202" s="7" t="n">
        <v>18</v>
      </c>
      <c r="B202" s="21" t="n">
        <v>46426</v>
      </c>
      <c r="C202" s="7" t="s">
        <v>135</v>
      </c>
      <c r="D202" s="7" t="s">
        <v>90</v>
      </c>
      <c r="E202" s="14" t="s">
        <v>40</v>
      </c>
      <c r="F202" s="14" t="s">
        <v>173</v>
      </c>
      <c r="G202" s="7" t="n">
        <v>45</v>
      </c>
      <c r="H202" s="22" t="n">
        <v>20</v>
      </c>
      <c r="I202" s="7" t="s">
        <v>304</v>
      </c>
      <c r="J202" s="7" t="s">
        <v>175</v>
      </c>
      <c r="K202" s="7" t="s">
        <v>176</v>
      </c>
      <c r="L202" s="7" t="s">
        <v>146</v>
      </c>
      <c r="M202" s="7" t="n">
        <v>0</v>
      </c>
      <c r="N202" s="7"/>
      <c r="O202" s="7"/>
      <c r="P202" s="7" t="s">
        <v>147</v>
      </c>
    </row>
    <row r="203" customFormat="false" ht="23.85" hidden="false" customHeight="false" outlineLevel="0" collapsed="false">
      <c r="A203" s="7" t="n">
        <v>18</v>
      </c>
      <c r="B203" s="21" t="n">
        <v>46426</v>
      </c>
      <c r="C203" s="7" t="s">
        <v>135</v>
      </c>
      <c r="D203" s="7" t="s">
        <v>90</v>
      </c>
      <c r="E203" s="23" t="s">
        <v>148</v>
      </c>
      <c r="F203" s="23" t="s">
        <v>282</v>
      </c>
      <c r="G203" s="7" t="n">
        <v>30</v>
      </c>
      <c r="H203" s="22"/>
      <c r="I203" s="7" t="s">
        <v>316</v>
      </c>
      <c r="J203" s="7" t="s">
        <v>151</v>
      </c>
      <c r="K203" s="7" t="s">
        <v>152</v>
      </c>
      <c r="L203" s="7"/>
      <c r="M203" s="7" t="n">
        <v>0</v>
      </c>
      <c r="N203" s="7"/>
      <c r="O203" s="7"/>
      <c r="P203" s="7" t="s">
        <v>153</v>
      </c>
    </row>
    <row r="204" customFormat="false" ht="23.85" hidden="false" customHeight="false" outlineLevel="0" collapsed="false">
      <c r="A204" s="7" t="n">
        <v>18</v>
      </c>
      <c r="B204" s="21" t="n">
        <v>46427</v>
      </c>
      <c r="C204" s="7" t="s">
        <v>141</v>
      </c>
      <c r="D204" s="7" t="s">
        <v>90</v>
      </c>
      <c r="E204" s="14" t="s">
        <v>40</v>
      </c>
      <c r="F204" s="14" t="s">
        <v>159</v>
      </c>
      <c r="G204" s="7" t="n">
        <v>60</v>
      </c>
      <c r="H204" s="22" t="n">
        <v>30</v>
      </c>
      <c r="I204" s="7" t="s">
        <v>160</v>
      </c>
      <c r="J204" s="7" t="s">
        <v>161</v>
      </c>
      <c r="K204" s="7" t="s">
        <v>139</v>
      </c>
      <c r="L204" s="7" t="s">
        <v>146</v>
      </c>
      <c r="M204" s="7" t="n">
        <v>0</v>
      </c>
      <c r="N204" s="7"/>
      <c r="O204" s="7"/>
      <c r="P204" s="7" t="s">
        <v>147</v>
      </c>
    </row>
    <row r="205" customFormat="false" ht="23.85" hidden="false" customHeight="false" outlineLevel="0" collapsed="false">
      <c r="A205" s="7" t="n">
        <v>18</v>
      </c>
      <c r="B205" s="21" t="n">
        <v>46427</v>
      </c>
      <c r="C205" s="7" t="s">
        <v>141</v>
      </c>
      <c r="D205" s="7" t="s">
        <v>90</v>
      </c>
      <c r="E205" s="24" t="s">
        <v>184</v>
      </c>
      <c r="F205" s="24" t="s">
        <v>229</v>
      </c>
      <c r="G205" s="7" t="n">
        <v>35</v>
      </c>
      <c r="H205" s="22" t="n">
        <v>5.8</v>
      </c>
      <c r="I205" s="7" t="s">
        <v>264</v>
      </c>
      <c r="J205" s="7" t="s">
        <v>231</v>
      </c>
      <c r="K205" s="7" t="s">
        <v>139</v>
      </c>
      <c r="L205" s="7" t="s">
        <v>146</v>
      </c>
      <c r="M205" s="7" t="n">
        <v>0</v>
      </c>
      <c r="N205" s="7"/>
      <c r="O205" s="7"/>
      <c r="P205" s="7" t="s">
        <v>153</v>
      </c>
    </row>
    <row r="206" customFormat="false" ht="23.85" hidden="false" customHeight="false" outlineLevel="0" collapsed="false">
      <c r="A206" s="7" t="n">
        <v>18</v>
      </c>
      <c r="B206" s="21" t="n">
        <v>46428</v>
      </c>
      <c r="C206" s="7" t="s">
        <v>154</v>
      </c>
      <c r="D206" s="7" t="s">
        <v>90</v>
      </c>
      <c r="E206" s="18" t="s">
        <v>42</v>
      </c>
      <c r="F206" s="18" t="s">
        <v>208</v>
      </c>
      <c r="G206" s="7" t="n">
        <v>45</v>
      </c>
      <c r="H206" s="22" t="n">
        <v>1.8</v>
      </c>
      <c r="I206" s="7" t="s">
        <v>209</v>
      </c>
      <c r="J206" s="7" t="s">
        <v>210</v>
      </c>
      <c r="K206" s="7" t="s">
        <v>211</v>
      </c>
      <c r="L206" s="7"/>
      <c r="M206" s="7" t="n">
        <v>10</v>
      </c>
      <c r="N206" s="7"/>
      <c r="O206" s="7"/>
      <c r="P206" s="7" t="s">
        <v>140</v>
      </c>
    </row>
    <row r="207" customFormat="false" ht="23.85" hidden="false" customHeight="false" outlineLevel="0" collapsed="false">
      <c r="A207" s="7" t="n">
        <v>18</v>
      </c>
      <c r="B207" s="21" t="n">
        <v>46429</v>
      </c>
      <c r="C207" s="7" t="s">
        <v>158</v>
      </c>
      <c r="D207" s="7" t="s">
        <v>90</v>
      </c>
      <c r="E207" s="14" t="s">
        <v>40</v>
      </c>
      <c r="F207" s="14" t="s">
        <v>159</v>
      </c>
      <c r="G207" s="7" t="n">
        <v>60</v>
      </c>
      <c r="H207" s="22" t="n">
        <v>30</v>
      </c>
      <c r="I207" s="7" t="s">
        <v>160</v>
      </c>
      <c r="J207" s="7" t="s">
        <v>161</v>
      </c>
      <c r="K207" s="7" t="s">
        <v>139</v>
      </c>
      <c r="L207" s="7" t="s">
        <v>146</v>
      </c>
      <c r="M207" s="7" t="n">
        <v>0</v>
      </c>
      <c r="N207" s="7"/>
      <c r="O207" s="7"/>
      <c r="P207" s="7" t="s">
        <v>147</v>
      </c>
    </row>
    <row r="208" customFormat="false" ht="23.85" hidden="false" customHeight="false" outlineLevel="0" collapsed="false">
      <c r="A208" s="7" t="n">
        <v>18</v>
      </c>
      <c r="B208" s="21" t="n">
        <v>46429</v>
      </c>
      <c r="C208" s="7" t="s">
        <v>158</v>
      </c>
      <c r="D208" s="7" t="s">
        <v>90</v>
      </c>
      <c r="E208" s="24" t="s">
        <v>184</v>
      </c>
      <c r="F208" s="24" t="s">
        <v>259</v>
      </c>
      <c r="G208" s="7" t="n">
        <v>35</v>
      </c>
      <c r="H208" s="22" t="n">
        <v>5.8</v>
      </c>
      <c r="I208" s="7" t="s">
        <v>272</v>
      </c>
      <c r="J208" s="7" t="s">
        <v>231</v>
      </c>
      <c r="K208" s="7" t="s">
        <v>139</v>
      </c>
      <c r="L208" s="7" t="s">
        <v>146</v>
      </c>
      <c r="M208" s="7" t="n">
        <v>2</v>
      </c>
      <c r="N208" s="7"/>
      <c r="O208" s="7"/>
      <c r="P208" s="7" t="s">
        <v>153</v>
      </c>
    </row>
    <row r="209" customFormat="false" ht="23.85" hidden="false" customHeight="false" outlineLevel="0" collapsed="false">
      <c r="A209" s="7" t="n">
        <v>18</v>
      </c>
      <c r="B209" s="21" t="n">
        <v>46430</v>
      </c>
      <c r="C209" s="7" t="s">
        <v>164</v>
      </c>
      <c r="D209" s="7" t="s">
        <v>90</v>
      </c>
      <c r="E209" s="18" t="s">
        <v>42</v>
      </c>
      <c r="F209" s="18" t="s">
        <v>214</v>
      </c>
      <c r="G209" s="7" t="n">
        <v>45</v>
      </c>
      <c r="H209" s="22" t="n">
        <v>2</v>
      </c>
      <c r="I209" s="7" t="s">
        <v>317</v>
      </c>
      <c r="J209" s="7" t="s">
        <v>216</v>
      </c>
      <c r="K209" s="7" t="s">
        <v>217</v>
      </c>
      <c r="L209" s="7"/>
      <c r="M209" s="7" t="n">
        <v>0</v>
      </c>
      <c r="N209" s="7"/>
      <c r="O209" s="7"/>
      <c r="P209" s="7" t="s">
        <v>140</v>
      </c>
    </row>
    <row r="210" customFormat="false" ht="35.05" hidden="false" customHeight="false" outlineLevel="0" collapsed="false">
      <c r="A210" s="7" t="n">
        <v>18</v>
      </c>
      <c r="B210" s="21" t="n">
        <v>46430</v>
      </c>
      <c r="C210" s="7" t="s">
        <v>164</v>
      </c>
      <c r="D210" s="7" t="s">
        <v>90</v>
      </c>
      <c r="E210" s="23" t="s">
        <v>148</v>
      </c>
      <c r="F210" s="23" t="s">
        <v>287</v>
      </c>
      <c r="G210" s="7" t="n">
        <v>25</v>
      </c>
      <c r="H210" s="22"/>
      <c r="I210" s="7" t="s">
        <v>288</v>
      </c>
      <c r="J210" s="7" t="s">
        <v>151</v>
      </c>
      <c r="K210" s="7" t="s">
        <v>152</v>
      </c>
      <c r="L210" s="7"/>
      <c r="M210" s="7" t="n">
        <v>0</v>
      </c>
      <c r="N210" s="7"/>
      <c r="O210" s="7"/>
      <c r="P210" s="7" t="s">
        <v>153</v>
      </c>
    </row>
    <row r="211" customFormat="false" ht="35.05" hidden="false" customHeight="false" outlineLevel="0" collapsed="false">
      <c r="A211" s="7" t="n">
        <v>18</v>
      </c>
      <c r="B211" s="21" t="n">
        <v>46431</v>
      </c>
      <c r="C211" s="7" t="s">
        <v>167</v>
      </c>
      <c r="D211" s="7" t="s">
        <v>90</v>
      </c>
      <c r="E211" s="14" t="s">
        <v>40</v>
      </c>
      <c r="F211" s="14" t="s">
        <v>168</v>
      </c>
      <c r="G211" s="7" t="n">
        <v>165</v>
      </c>
      <c r="H211" s="22" t="n">
        <v>82</v>
      </c>
      <c r="I211" s="7" t="s">
        <v>318</v>
      </c>
      <c r="J211" s="7" t="s">
        <v>290</v>
      </c>
      <c r="K211" s="7" t="s">
        <v>139</v>
      </c>
      <c r="L211" s="7" t="s">
        <v>242</v>
      </c>
      <c r="M211" s="7" t="n">
        <v>0</v>
      </c>
      <c r="N211" s="7"/>
      <c r="O211" s="7"/>
      <c r="P211" s="7" t="s">
        <v>147</v>
      </c>
    </row>
    <row r="212" customFormat="false" ht="35.05" hidden="false" customHeight="false" outlineLevel="0" collapsed="false">
      <c r="A212" s="7" t="n">
        <v>18</v>
      </c>
      <c r="B212" s="21" t="n">
        <v>46431</v>
      </c>
      <c r="C212" s="7" t="s">
        <v>167</v>
      </c>
      <c r="D212" s="7" t="s">
        <v>90</v>
      </c>
      <c r="E212" s="24" t="s">
        <v>184</v>
      </c>
      <c r="F212" s="24" t="s">
        <v>243</v>
      </c>
      <c r="G212" s="7" t="n">
        <v>10</v>
      </c>
      <c r="H212" s="22" t="n">
        <v>1.7</v>
      </c>
      <c r="I212" s="7" t="s">
        <v>244</v>
      </c>
      <c r="J212" s="7" t="s">
        <v>231</v>
      </c>
      <c r="K212" s="7" t="s">
        <v>245</v>
      </c>
      <c r="L212" s="7" t="s">
        <v>146</v>
      </c>
      <c r="M212" s="7" t="n">
        <v>0</v>
      </c>
      <c r="N212" s="7"/>
      <c r="O212" s="7"/>
      <c r="P212" s="7" t="s">
        <v>246</v>
      </c>
    </row>
    <row r="213" customFormat="false" ht="35.05" hidden="false" customHeight="false" outlineLevel="0" collapsed="false">
      <c r="A213" s="7" t="n">
        <v>18</v>
      </c>
      <c r="B213" s="21" t="n">
        <v>46432</v>
      </c>
      <c r="C213" s="7" t="s">
        <v>172</v>
      </c>
      <c r="D213" s="7" t="s">
        <v>90</v>
      </c>
      <c r="E213" s="18" t="s">
        <v>42</v>
      </c>
      <c r="F213" s="18" t="s">
        <v>312</v>
      </c>
      <c r="G213" s="7" t="n">
        <v>30</v>
      </c>
      <c r="H213" s="22" t="n">
        <v>1.4</v>
      </c>
      <c r="I213" s="7" t="s">
        <v>313</v>
      </c>
      <c r="J213" s="7" t="s">
        <v>314</v>
      </c>
      <c r="K213" s="7" t="s">
        <v>139</v>
      </c>
      <c r="L213" s="7"/>
      <c r="M213" s="7" t="n">
        <v>3</v>
      </c>
      <c r="N213" s="7"/>
      <c r="O213" s="7"/>
      <c r="P213" s="7" t="s">
        <v>262</v>
      </c>
    </row>
    <row r="214" customFormat="false" ht="35.05" hidden="false" customHeight="false" outlineLevel="0" collapsed="false">
      <c r="A214" s="7" t="n">
        <v>18</v>
      </c>
      <c r="B214" s="21" t="n">
        <v>46432</v>
      </c>
      <c r="C214" s="7" t="s">
        <v>172</v>
      </c>
      <c r="D214" s="7" t="s">
        <v>90</v>
      </c>
      <c r="E214" s="24" t="s">
        <v>184</v>
      </c>
      <c r="F214" s="24" t="s">
        <v>247</v>
      </c>
      <c r="G214" s="7" t="n">
        <v>65</v>
      </c>
      <c r="H214" s="22" t="n">
        <v>10.8</v>
      </c>
      <c r="I214" s="7" t="s">
        <v>319</v>
      </c>
      <c r="J214" s="7" t="s">
        <v>231</v>
      </c>
      <c r="K214" s="7" t="s">
        <v>139</v>
      </c>
      <c r="L214" s="7" t="s">
        <v>249</v>
      </c>
      <c r="M214" s="7" t="n">
        <v>0</v>
      </c>
      <c r="N214" s="7"/>
      <c r="O214" s="7"/>
      <c r="P214" s="7" t="s">
        <v>147</v>
      </c>
    </row>
    <row r="215" customFormat="false" ht="23.85" hidden="false" customHeight="false" outlineLevel="0" collapsed="false">
      <c r="A215" s="7" t="n">
        <v>19</v>
      </c>
      <c r="B215" s="21" t="n">
        <v>46433</v>
      </c>
      <c r="C215" s="7" t="s">
        <v>135</v>
      </c>
      <c r="D215" s="7" t="s">
        <v>95</v>
      </c>
      <c r="E215" s="14" t="s">
        <v>40</v>
      </c>
      <c r="F215" s="14" t="s">
        <v>173</v>
      </c>
      <c r="G215" s="7" t="n">
        <v>45</v>
      </c>
      <c r="H215" s="22" t="n">
        <v>20</v>
      </c>
      <c r="I215" s="7" t="s">
        <v>304</v>
      </c>
      <c r="J215" s="7" t="s">
        <v>175</v>
      </c>
      <c r="K215" s="7" t="s">
        <v>176</v>
      </c>
      <c r="L215" s="7" t="s">
        <v>146</v>
      </c>
      <c r="M215" s="7" t="n">
        <v>0</v>
      </c>
      <c r="N215" s="7"/>
      <c r="O215" s="7"/>
      <c r="P215" s="7" t="s">
        <v>147</v>
      </c>
    </row>
    <row r="216" customFormat="false" ht="35.05" hidden="false" customHeight="false" outlineLevel="0" collapsed="false">
      <c r="A216" s="7" t="n">
        <v>19</v>
      </c>
      <c r="B216" s="21" t="n">
        <v>46434</v>
      </c>
      <c r="C216" s="7" t="s">
        <v>141</v>
      </c>
      <c r="D216" s="7" t="s">
        <v>95</v>
      </c>
      <c r="E216" s="14" t="s">
        <v>40</v>
      </c>
      <c r="F216" s="14" t="s">
        <v>142</v>
      </c>
      <c r="G216" s="7" t="n">
        <v>75</v>
      </c>
      <c r="H216" s="22" t="n">
        <v>38</v>
      </c>
      <c r="I216" s="7" t="s">
        <v>320</v>
      </c>
      <c r="J216" s="7" t="s">
        <v>321</v>
      </c>
      <c r="K216" s="7" t="s">
        <v>145</v>
      </c>
      <c r="L216" s="7" t="s">
        <v>240</v>
      </c>
      <c r="M216" s="7" t="n">
        <v>25</v>
      </c>
      <c r="N216" s="7"/>
      <c r="O216" s="7"/>
      <c r="P216" s="7" t="s">
        <v>147</v>
      </c>
    </row>
    <row r="217" customFormat="false" ht="35.05" hidden="false" customHeight="false" outlineLevel="0" collapsed="false">
      <c r="A217" s="7" t="n">
        <v>19</v>
      </c>
      <c r="B217" s="21" t="n">
        <v>46434</v>
      </c>
      <c r="C217" s="7" t="s">
        <v>141</v>
      </c>
      <c r="D217" s="7" t="s">
        <v>95</v>
      </c>
      <c r="E217" s="23" t="s">
        <v>148</v>
      </c>
      <c r="F217" s="23" t="s">
        <v>282</v>
      </c>
      <c r="G217" s="7" t="n">
        <v>40</v>
      </c>
      <c r="H217" s="22"/>
      <c r="I217" s="7" t="s">
        <v>283</v>
      </c>
      <c r="J217" s="7" t="s">
        <v>151</v>
      </c>
      <c r="K217" s="7" t="s">
        <v>152</v>
      </c>
      <c r="L217" s="7"/>
      <c r="M217" s="7" t="n">
        <v>0</v>
      </c>
      <c r="N217" s="7"/>
      <c r="O217" s="7"/>
      <c r="P217" s="7" t="s">
        <v>153</v>
      </c>
    </row>
    <row r="218" customFormat="false" ht="23.85" hidden="false" customHeight="false" outlineLevel="0" collapsed="false">
      <c r="A218" s="7" t="n">
        <v>19</v>
      </c>
      <c r="B218" s="21" t="n">
        <v>46435</v>
      </c>
      <c r="C218" s="7" t="s">
        <v>154</v>
      </c>
      <c r="D218" s="7" t="s">
        <v>95</v>
      </c>
      <c r="E218" s="18" t="s">
        <v>42</v>
      </c>
      <c r="F218" s="18" t="s">
        <v>155</v>
      </c>
      <c r="G218" s="7" t="n">
        <v>65</v>
      </c>
      <c r="H218" s="22" t="n">
        <v>3.1</v>
      </c>
      <c r="I218" s="7" t="s">
        <v>295</v>
      </c>
      <c r="J218" s="7" t="s">
        <v>157</v>
      </c>
      <c r="K218" s="7" t="s">
        <v>152</v>
      </c>
      <c r="L218" s="7"/>
      <c r="M218" s="7" t="n">
        <v>33</v>
      </c>
      <c r="N218" s="7"/>
      <c r="O218" s="7"/>
      <c r="P218" s="7" t="s">
        <v>140</v>
      </c>
    </row>
    <row r="219" customFormat="false" ht="35.05" hidden="false" customHeight="false" outlineLevel="0" collapsed="false">
      <c r="A219" s="7" t="n">
        <v>19</v>
      </c>
      <c r="B219" s="21" t="n">
        <v>46435</v>
      </c>
      <c r="C219" s="7" t="s">
        <v>154</v>
      </c>
      <c r="D219" s="7" t="s">
        <v>95</v>
      </c>
      <c r="E219" s="24" t="s">
        <v>184</v>
      </c>
      <c r="F219" s="24" t="s">
        <v>296</v>
      </c>
      <c r="G219" s="7" t="n">
        <v>40</v>
      </c>
      <c r="H219" s="22" t="n">
        <v>6.7</v>
      </c>
      <c r="I219" s="7" t="s">
        <v>322</v>
      </c>
      <c r="J219" s="7" t="s">
        <v>298</v>
      </c>
      <c r="K219" s="7" t="s">
        <v>299</v>
      </c>
      <c r="L219" s="7" t="s">
        <v>146</v>
      </c>
      <c r="M219" s="7" t="n">
        <v>24</v>
      </c>
      <c r="N219" s="7"/>
      <c r="O219" s="7"/>
      <c r="P219" s="7" t="s">
        <v>147</v>
      </c>
    </row>
    <row r="220" customFormat="false" ht="23.85" hidden="false" customHeight="false" outlineLevel="0" collapsed="false">
      <c r="A220" s="7" t="n">
        <v>19</v>
      </c>
      <c r="B220" s="21" t="n">
        <v>46436</v>
      </c>
      <c r="C220" s="7" t="s">
        <v>158</v>
      </c>
      <c r="D220" s="7" t="s">
        <v>95</v>
      </c>
      <c r="E220" s="14" t="s">
        <v>40</v>
      </c>
      <c r="F220" s="14" t="s">
        <v>159</v>
      </c>
      <c r="G220" s="7" t="n">
        <v>85</v>
      </c>
      <c r="H220" s="22" t="n">
        <v>42</v>
      </c>
      <c r="I220" s="7" t="s">
        <v>308</v>
      </c>
      <c r="J220" s="7" t="s">
        <v>161</v>
      </c>
      <c r="K220" s="7" t="s">
        <v>139</v>
      </c>
      <c r="L220" s="7" t="s">
        <v>240</v>
      </c>
      <c r="M220" s="7" t="n">
        <v>0</v>
      </c>
      <c r="N220" s="7"/>
      <c r="O220" s="7"/>
      <c r="P220" s="7" t="s">
        <v>147</v>
      </c>
    </row>
    <row r="221" customFormat="false" ht="23.85" hidden="false" customHeight="false" outlineLevel="0" collapsed="false">
      <c r="A221" s="7" t="n">
        <v>19</v>
      </c>
      <c r="B221" s="21" t="n">
        <v>46436</v>
      </c>
      <c r="C221" s="7" t="s">
        <v>158</v>
      </c>
      <c r="D221" s="7" t="s">
        <v>95</v>
      </c>
      <c r="E221" s="24" t="s">
        <v>184</v>
      </c>
      <c r="F221" s="24" t="s">
        <v>259</v>
      </c>
      <c r="G221" s="7" t="n">
        <v>30</v>
      </c>
      <c r="H221" s="22" t="n">
        <v>5</v>
      </c>
      <c r="I221" s="7" t="s">
        <v>260</v>
      </c>
      <c r="J221" s="7" t="s">
        <v>231</v>
      </c>
      <c r="K221" s="7" t="s">
        <v>139</v>
      </c>
      <c r="L221" s="7" t="s">
        <v>146</v>
      </c>
      <c r="M221" s="7" t="n">
        <v>2</v>
      </c>
      <c r="N221" s="7"/>
      <c r="O221" s="7"/>
      <c r="P221" s="7" t="s">
        <v>153</v>
      </c>
    </row>
    <row r="222" customFormat="false" ht="23.85" hidden="false" customHeight="false" outlineLevel="0" collapsed="false">
      <c r="A222" s="7" t="n">
        <v>19</v>
      </c>
      <c r="B222" s="21" t="n">
        <v>46437</v>
      </c>
      <c r="C222" s="7" t="s">
        <v>164</v>
      </c>
      <c r="D222" s="7" t="s">
        <v>95</v>
      </c>
      <c r="E222" s="18" t="s">
        <v>42</v>
      </c>
      <c r="F222" s="18" t="s">
        <v>165</v>
      </c>
      <c r="G222" s="7" t="n">
        <v>70</v>
      </c>
      <c r="H222" s="22" t="n">
        <v>3.5</v>
      </c>
      <c r="I222" s="7" t="s">
        <v>309</v>
      </c>
      <c r="J222" s="7" t="s">
        <v>138</v>
      </c>
      <c r="K222" s="7" t="s">
        <v>139</v>
      </c>
      <c r="L222" s="7"/>
      <c r="M222" s="7" t="n">
        <v>0</v>
      </c>
      <c r="N222" s="7"/>
      <c r="O222" s="7"/>
      <c r="P222" s="7" t="s">
        <v>140</v>
      </c>
    </row>
    <row r="223" customFormat="false" ht="35.05" hidden="false" customHeight="false" outlineLevel="0" collapsed="false">
      <c r="A223" s="7" t="n">
        <v>19</v>
      </c>
      <c r="B223" s="21" t="n">
        <v>46437</v>
      </c>
      <c r="C223" s="7" t="s">
        <v>164</v>
      </c>
      <c r="D223" s="7" t="s">
        <v>95</v>
      </c>
      <c r="E223" s="23" t="s">
        <v>148</v>
      </c>
      <c r="F223" s="23" t="s">
        <v>287</v>
      </c>
      <c r="G223" s="7" t="n">
        <v>30</v>
      </c>
      <c r="H223" s="22"/>
      <c r="I223" s="7" t="s">
        <v>288</v>
      </c>
      <c r="J223" s="7" t="s">
        <v>151</v>
      </c>
      <c r="K223" s="7" t="s">
        <v>152</v>
      </c>
      <c r="L223" s="7"/>
      <c r="M223" s="7" t="n">
        <v>0</v>
      </c>
      <c r="N223" s="7"/>
      <c r="O223" s="7"/>
      <c r="P223" s="7" t="s">
        <v>153</v>
      </c>
    </row>
    <row r="224" customFormat="false" ht="35.05" hidden="false" customHeight="false" outlineLevel="0" collapsed="false">
      <c r="A224" s="7" t="n">
        <v>19</v>
      </c>
      <c r="B224" s="21" t="n">
        <v>46438</v>
      </c>
      <c r="C224" s="7" t="s">
        <v>167</v>
      </c>
      <c r="D224" s="7" t="s">
        <v>95</v>
      </c>
      <c r="E224" s="14" t="s">
        <v>40</v>
      </c>
      <c r="F224" s="14" t="s">
        <v>168</v>
      </c>
      <c r="G224" s="7" t="n">
        <v>270</v>
      </c>
      <c r="H224" s="22" t="n">
        <v>135</v>
      </c>
      <c r="I224" s="7" t="s">
        <v>323</v>
      </c>
      <c r="J224" s="7" t="s">
        <v>290</v>
      </c>
      <c r="K224" s="7" t="s">
        <v>139</v>
      </c>
      <c r="L224" s="7" t="s">
        <v>291</v>
      </c>
      <c r="M224" s="7" t="n">
        <v>0</v>
      </c>
      <c r="N224" s="7"/>
      <c r="O224" s="7"/>
      <c r="P224" s="7" t="s">
        <v>147</v>
      </c>
    </row>
    <row r="225" customFormat="false" ht="35.05" hidden="false" customHeight="false" outlineLevel="0" collapsed="false">
      <c r="A225" s="7" t="n">
        <v>19</v>
      </c>
      <c r="B225" s="21" t="n">
        <v>46438</v>
      </c>
      <c r="C225" s="7" t="s">
        <v>167</v>
      </c>
      <c r="D225" s="7" t="s">
        <v>95</v>
      </c>
      <c r="E225" s="24" t="s">
        <v>184</v>
      </c>
      <c r="F225" s="24" t="s">
        <v>243</v>
      </c>
      <c r="G225" s="7" t="n">
        <v>20</v>
      </c>
      <c r="H225" s="22" t="n">
        <v>3.3</v>
      </c>
      <c r="I225" s="7" t="s">
        <v>311</v>
      </c>
      <c r="J225" s="7" t="s">
        <v>231</v>
      </c>
      <c r="K225" s="7" t="s">
        <v>245</v>
      </c>
      <c r="L225" s="7" t="s">
        <v>146</v>
      </c>
      <c r="M225" s="7" t="n">
        <v>0</v>
      </c>
      <c r="N225" s="7"/>
      <c r="O225" s="7"/>
      <c r="P225" s="7" t="s">
        <v>246</v>
      </c>
    </row>
    <row r="226" customFormat="false" ht="35.05" hidden="false" customHeight="false" outlineLevel="0" collapsed="false">
      <c r="A226" s="7" t="n">
        <v>19</v>
      </c>
      <c r="B226" s="21" t="n">
        <v>46439</v>
      </c>
      <c r="C226" s="7" t="s">
        <v>172</v>
      </c>
      <c r="D226" s="7" t="s">
        <v>95</v>
      </c>
      <c r="E226" s="18" t="s">
        <v>42</v>
      </c>
      <c r="F226" s="18" t="s">
        <v>312</v>
      </c>
      <c r="G226" s="7" t="n">
        <v>40</v>
      </c>
      <c r="H226" s="22" t="n">
        <v>1.8</v>
      </c>
      <c r="I226" s="7" t="s">
        <v>313</v>
      </c>
      <c r="J226" s="7" t="s">
        <v>314</v>
      </c>
      <c r="K226" s="7" t="s">
        <v>139</v>
      </c>
      <c r="L226" s="7"/>
      <c r="M226" s="7" t="n">
        <v>4</v>
      </c>
      <c r="N226" s="7"/>
      <c r="O226" s="7"/>
      <c r="P226" s="7" t="s">
        <v>262</v>
      </c>
    </row>
    <row r="227" customFormat="false" ht="35.05" hidden="false" customHeight="false" outlineLevel="0" collapsed="false">
      <c r="A227" s="7" t="n">
        <v>19</v>
      </c>
      <c r="B227" s="21" t="n">
        <v>46439</v>
      </c>
      <c r="C227" s="7" t="s">
        <v>172</v>
      </c>
      <c r="D227" s="7" t="s">
        <v>95</v>
      </c>
      <c r="E227" s="24" t="s">
        <v>184</v>
      </c>
      <c r="F227" s="24" t="s">
        <v>247</v>
      </c>
      <c r="G227" s="7" t="n">
        <v>96</v>
      </c>
      <c r="H227" s="22" t="n">
        <v>16</v>
      </c>
      <c r="I227" s="7" t="s">
        <v>324</v>
      </c>
      <c r="J227" s="7" t="s">
        <v>231</v>
      </c>
      <c r="K227" s="7" t="s">
        <v>139</v>
      </c>
      <c r="L227" s="7" t="s">
        <v>303</v>
      </c>
      <c r="M227" s="7" t="n">
        <v>0</v>
      </c>
      <c r="N227" s="7"/>
      <c r="O227" s="7"/>
      <c r="P227" s="7" t="s">
        <v>147</v>
      </c>
    </row>
    <row r="228" customFormat="false" ht="23.85" hidden="false" customHeight="false" outlineLevel="0" collapsed="false">
      <c r="A228" s="7" t="n">
        <v>20</v>
      </c>
      <c r="B228" s="21" t="n">
        <v>46440</v>
      </c>
      <c r="C228" s="7" t="s">
        <v>135</v>
      </c>
      <c r="D228" s="7" t="s">
        <v>95</v>
      </c>
      <c r="E228" s="14" t="s">
        <v>40</v>
      </c>
      <c r="F228" s="14" t="s">
        <v>173</v>
      </c>
      <c r="G228" s="7" t="n">
        <v>45</v>
      </c>
      <c r="H228" s="22" t="n">
        <v>20</v>
      </c>
      <c r="I228" s="7" t="s">
        <v>304</v>
      </c>
      <c r="J228" s="7" t="s">
        <v>175</v>
      </c>
      <c r="K228" s="7" t="s">
        <v>176</v>
      </c>
      <c r="L228" s="7" t="s">
        <v>146</v>
      </c>
      <c r="M228" s="7" t="n">
        <v>0</v>
      </c>
      <c r="N228" s="7"/>
      <c r="O228" s="7"/>
      <c r="P228" s="7" t="s">
        <v>147</v>
      </c>
    </row>
    <row r="229" customFormat="false" ht="35.05" hidden="false" customHeight="false" outlineLevel="0" collapsed="false">
      <c r="A229" s="7" t="n">
        <v>20</v>
      </c>
      <c r="B229" s="21" t="n">
        <v>46441</v>
      </c>
      <c r="C229" s="7" t="s">
        <v>141</v>
      </c>
      <c r="D229" s="7" t="s">
        <v>95</v>
      </c>
      <c r="E229" s="14" t="s">
        <v>40</v>
      </c>
      <c r="F229" s="14" t="s">
        <v>142</v>
      </c>
      <c r="G229" s="7" t="n">
        <v>75</v>
      </c>
      <c r="H229" s="22" t="n">
        <v>38</v>
      </c>
      <c r="I229" s="7" t="s">
        <v>325</v>
      </c>
      <c r="J229" s="7" t="s">
        <v>321</v>
      </c>
      <c r="K229" s="7" t="s">
        <v>145</v>
      </c>
      <c r="L229" s="7" t="s">
        <v>240</v>
      </c>
      <c r="M229" s="7" t="n">
        <v>30</v>
      </c>
      <c r="N229" s="7"/>
      <c r="O229" s="7"/>
      <c r="P229" s="7" t="s">
        <v>147</v>
      </c>
    </row>
    <row r="230" customFormat="false" ht="35.05" hidden="false" customHeight="false" outlineLevel="0" collapsed="false">
      <c r="A230" s="7" t="n">
        <v>20</v>
      </c>
      <c r="B230" s="21" t="n">
        <v>46441</v>
      </c>
      <c r="C230" s="7" t="s">
        <v>141</v>
      </c>
      <c r="D230" s="7" t="s">
        <v>95</v>
      </c>
      <c r="E230" s="23" t="s">
        <v>148</v>
      </c>
      <c r="F230" s="23" t="s">
        <v>282</v>
      </c>
      <c r="G230" s="7" t="n">
        <v>40</v>
      </c>
      <c r="H230" s="22"/>
      <c r="I230" s="7" t="s">
        <v>283</v>
      </c>
      <c r="J230" s="7" t="s">
        <v>151</v>
      </c>
      <c r="K230" s="7" t="s">
        <v>152</v>
      </c>
      <c r="L230" s="7"/>
      <c r="M230" s="7" t="n">
        <v>0</v>
      </c>
      <c r="N230" s="7"/>
      <c r="O230" s="7"/>
      <c r="P230" s="7" t="s">
        <v>153</v>
      </c>
    </row>
    <row r="231" customFormat="false" ht="23.85" hidden="false" customHeight="false" outlineLevel="0" collapsed="false">
      <c r="A231" s="7" t="n">
        <v>20</v>
      </c>
      <c r="B231" s="21" t="n">
        <v>46442</v>
      </c>
      <c r="C231" s="7" t="s">
        <v>154</v>
      </c>
      <c r="D231" s="7" t="s">
        <v>95</v>
      </c>
      <c r="E231" s="18" t="s">
        <v>42</v>
      </c>
      <c r="F231" s="18" t="s">
        <v>155</v>
      </c>
      <c r="G231" s="7" t="n">
        <v>70</v>
      </c>
      <c r="H231" s="22" t="n">
        <v>3.3</v>
      </c>
      <c r="I231" s="7" t="s">
        <v>326</v>
      </c>
      <c r="J231" s="7" t="s">
        <v>157</v>
      </c>
      <c r="K231" s="7" t="s">
        <v>152</v>
      </c>
      <c r="L231" s="7"/>
      <c r="M231" s="7" t="n">
        <v>35</v>
      </c>
      <c r="N231" s="7"/>
      <c r="O231" s="7"/>
      <c r="P231" s="7" t="s">
        <v>140</v>
      </c>
    </row>
    <row r="232" customFormat="false" ht="35.05" hidden="false" customHeight="false" outlineLevel="0" collapsed="false">
      <c r="A232" s="7" t="n">
        <v>20</v>
      </c>
      <c r="B232" s="21" t="n">
        <v>46442</v>
      </c>
      <c r="C232" s="7" t="s">
        <v>154</v>
      </c>
      <c r="D232" s="7" t="s">
        <v>95</v>
      </c>
      <c r="E232" s="24" t="s">
        <v>184</v>
      </c>
      <c r="F232" s="24" t="s">
        <v>296</v>
      </c>
      <c r="G232" s="7" t="n">
        <v>45</v>
      </c>
      <c r="H232" s="22" t="n">
        <v>7.5</v>
      </c>
      <c r="I232" s="7" t="s">
        <v>327</v>
      </c>
      <c r="J232" s="7" t="s">
        <v>298</v>
      </c>
      <c r="K232" s="7" t="s">
        <v>299</v>
      </c>
      <c r="L232" s="7" t="s">
        <v>146</v>
      </c>
      <c r="M232" s="7" t="n">
        <v>24</v>
      </c>
      <c r="N232" s="7"/>
      <c r="O232" s="7"/>
      <c r="P232" s="7" t="s">
        <v>147</v>
      </c>
    </row>
    <row r="233" customFormat="false" ht="23.85" hidden="false" customHeight="false" outlineLevel="0" collapsed="false">
      <c r="A233" s="7" t="n">
        <v>20</v>
      </c>
      <c r="B233" s="21" t="n">
        <v>46443</v>
      </c>
      <c r="C233" s="7" t="s">
        <v>158</v>
      </c>
      <c r="D233" s="7" t="s">
        <v>95</v>
      </c>
      <c r="E233" s="14" t="s">
        <v>40</v>
      </c>
      <c r="F233" s="14" t="s">
        <v>159</v>
      </c>
      <c r="G233" s="7" t="n">
        <v>80</v>
      </c>
      <c r="H233" s="22" t="n">
        <v>40</v>
      </c>
      <c r="I233" s="7" t="s">
        <v>328</v>
      </c>
      <c r="J233" s="7" t="s">
        <v>161</v>
      </c>
      <c r="K233" s="7" t="s">
        <v>139</v>
      </c>
      <c r="L233" s="7" t="s">
        <v>240</v>
      </c>
      <c r="M233" s="7" t="n">
        <v>0</v>
      </c>
      <c r="N233" s="7"/>
      <c r="O233" s="7"/>
      <c r="P233" s="7" t="s">
        <v>147</v>
      </c>
    </row>
    <row r="234" customFormat="false" ht="23.85" hidden="false" customHeight="false" outlineLevel="0" collapsed="false">
      <c r="A234" s="7" t="n">
        <v>20</v>
      </c>
      <c r="B234" s="21" t="n">
        <v>46443</v>
      </c>
      <c r="C234" s="7" t="s">
        <v>158</v>
      </c>
      <c r="D234" s="7" t="s">
        <v>95</v>
      </c>
      <c r="E234" s="24" t="s">
        <v>184</v>
      </c>
      <c r="F234" s="24" t="s">
        <v>259</v>
      </c>
      <c r="G234" s="7" t="n">
        <v>35</v>
      </c>
      <c r="H234" s="22" t="n">
        <v>5.8</v>
      </c>
      <c r="I234" s="7" t="s">
        <v>272</v>
      </c>
      <c r="J234" s="7" t="s">
        <v>231</v>
      </c>
      <c r="K234" s="7" t="s">
        <v>139</v>
      </c>
      <c r="L234" s="7" t="s">
        <v>146</v>
      </c>
      <c r="M234" s="7" t="n">
        <v>2</v>
      </c>
      <c r="N234" s="7"/>
      <c r="O234" s="7"/>
      <c r="P234" s="7" t="s">
        <v>153</v>
      </c>
    </row>
    <row r="235" customFormat="false" ht="23.85" hidden="false" customHeight="false" outlineLevel="0" collapsed="false">
      <c r="A235" s="7" t="n">
        <v>20</v>
      </c>
      <c r="B235" s="21" t="n">
        <v>46444</v>
      </c>
      <c r="C235" s="7" t="s">
        <v>164</v>
      </c>
      <c r="D235" s="7" t="s">
        <v>95</v>
      </c>
      <c r="E235" s="18" t="s">
        <v>42</v>
      </c>
      <c r="F235" s="18" t="s">
        <v>165</v>
      </c>
      <c r="G235" s="7" t="n">
        <v>75</v>
      </c>
      <c r="H235" s="22" t="n">
        <v>3.8</v>
      </c>
      <c r="I235" s="7" t="s">
        <v>329</v>
      </c>
      <c r="J235" s="7" t="s">
        <v>138</v>
      </c>
      <c r="K235" s="7" t="s">
        <v>139</v>
      </c>
      <c r="L235" s="7"/>
      <c r="M235" s="7" t="n">
        <v>0</v>
      </c>
      <c r="N235" s="7"/>
      <c r="O235" s="7"/>
      <c r="P235" s="7" t="s">
        <v>140</v>
      </c>
    </row>
    <row r="236" customFormat="false" ht="35.05" hidden="false" customHeight="false" outlineLevel="0" collapsed="false">
      <c r="A236" s="7" t="n">
        <v>20</v>
      </c>
      <c r="B236" s="21" t="n">
        <v>46444</v>
      </c>
      <c r="C236" s="7" t="s">
        <v>164</v>
      </c>
      <c r="D236" s="7" t="s">
        <v>95</v>
      </c>
      <c r="E236" s="23" t="s">
        <v>148</v>
      </c>
      <c r="F236" s="23" t="s">
        <v>287</v>
      </c>
      <c r="G236" s="7" t="n">
        <v>30</v>
      </c>
      <c r="H236" s="22"/>
      <c r="I236" s="7" t="s">
        <v>288</v>
      </c>
      <c r="J236" s="7" t="s">
        <v>151</v>
      </c>
      <c r="K236" s="7" t="s">
        <v>152</v>
      </c>
      <c r="L236" s="7"/>
      <c r="M236" s="7" t="n">
        <v>0</v>
      </c>
      <c r="N236" s="7"/>
      <c r="O236" s="7"/>
      <c r="P236" s="7" t="s">
        <v>153</v>
      </c>
    </row>
    <row r="237" customFormat="false" ht="35.05" hidden="false" customHeight="false" outlineLevel="0" collapsed="false">
      <c r="A237" s="7" t="n">
        <v>20</v>
      </c>
      <c r="B237" s="21" t="n">
        <v>46445</v>
      </c>
      <c r="C237" s="7" t="s">
        <v>167</v>
      </c>
      <c r="D237" s="7" t="s">
        <v>95</v>
      </c>
      <c r="E237" s="14" t="s">
        <v>40</v>
      </c>
      <c r="F237" s="14" t="s">
        <v>168</v>
      </c>
      <c r="G237" s="7" t="n">
        <v>300</v>
      </c>
      <c r="H237" s="22" t="n">
        <v>150</v>
      </c>
      <c r="I237" s="7" t="s">
        <v>330</v>
      </c>
      <c r="J237" s="7" t="s">
        <v>290</v>
      </c>
      <c r="K237" s="7" t="s">
        <v>139</v>
      </c>
      <c r="L237" s="7" t="s">
        <v>291</v>
      </c>
      <c r="M237" s="7" t="n">
        <v>0</v>
      </c>
      <c r="N237" s="7"/>
      <c r="O237" s="7"/>
      <c r="P237" s="7" t="s">
        <v>147</v>
      </c>
    </row>
    <row r="238" customFormat="false" ht="35.05" hidden="false" customHeight="false" outlineLevel="0" collapsed="false">
      <c r="A238" s="7" t="n">
        <v>20</v>
      </c>
      <c r="B238" s="21" t="n">
        <v>46445</v>
      </c>
      <c r="C238" s="7" t="s">
        <v>167</v>
      </c>
      <c r="D238" s="7" t="s">
        <v>95</v>
      </c>
      <c r="E238" s="24" t="s">
        <v>184</v>
      </c>
      <c r="F238" s="24" t="s">
        <v>243</v>
      </c>
      <c r="G238" s="7" t="n">
        <v>20</v>
      </c>
      <c r="H238" s="22" t="n">
        <v>3.3</v>
      </c>
      <c r="I238" s="7" t="s">
        <v>311</v>
      </c>
      <c r="J238" s="7" t="s">
        <v>231</v>
      </c>
      <c r="K238" s="7" t="s">
        <v>245</v>
      </c>
      <c r="L238" s="7" t="s">
        <v>146</v>
      </c>
      <c r="M238" s="7" t="n">
        <v>0</v>
      </c>
      <c r="N238" s="7"/>
      <c r="O238" s="7"/>
      <c r="P238" s="7" t="s">
        <v>246</v>
      </c>
    </row>
    <row r="239" customFormat="false" ht="35.05" hidden="false" customHeight="false" outlineLevel="0" collapsed="false">
      <c r="A239" s="7" t="n">
        <v>20</v>
      </c>
      <c r="B239" s="21" t="n">
        <v>46446</v>
      </c>
      <c r="C239" s="7" t="s">
        <v>172</v>
      </c>
      <c r="D239" s="7" t="s">
        <v>95</v>
      </c>
      <c r="E239" s="18" t="s">
        <v>42</v>
      </c>
      <c r="F239" s="18" t="s">
        <v>312</v>
      </c>
      <c r="G239" s="7" t="n">
        <v>45</v>
      </c>
      <c r="H239" s="22" t="n">
        <v>2</v>
      </c>
      <c r="I239" s="7" t="s">
        <v>313</v>
      </c>
      <c r="J239" s="7" t="s">
        <v>314</v>
      </c>
      <c r="K239" s="7" t="s">
        <v>139</v>
      </c>
      <c r="L239" s="7"/>
      <c r="M239" s="7" t="n">
        <v>4</v>
      </c>
      <c r="N239" s="7"/>
      <c r="O239" s="7"/>
      <c r="P239" s="7" t="s">
        <v>262</v>
      </c>
    </row>
    <row r="240" customFormat="false" ht="35.05" hidden="false" customHeight="false" outlineLevel="0" collapsed="false">
      <c r="A240" s="7" t="n">
        <v>20</v>
      </c>
      <c r="B240" s="21" t="n">
        <v>46446</v>
      </c>
      <c r="C240" s="7" t="s">
        <v>172</v>
      </c>
      <c r="D240" s="7" t="s">
        <v>95</v>
      </c>
      <c r="E240" s="24" t="s">
        <v>184</v>
      </c>
      <c r="F240" s="24" t="s">
        <v>247</v>
      </c>
      <c r="G240" s="7" t="n">
        <v>102</v>
      </c>
      <c r="H240" s="22" t="n">
        <v>17</v>
      </c>
      <c r="I240" s="7" t="s">
        <v>331</v>
      </c>
      <c r="J240" s="7" t="s">
        <v>231</v>
      </c>
      <c r="K240" s="7" t="s">
        <v>139</v>
      </c>
      <c r="L240" s="7" t="s">
        <v>303</v>
      </c>
      <c r="M240" s="7" t="n">
        <v>0</v>
      </c>
      <c r="N240" s="7"/>
      <c r="O240" s="7"/>
      <c r="P240" s="7" t="s">
        <v>147</v>
      </c>
    </row>
    <row r="241" customFormat="false" ht="23.85" hidden="false" customHeight="false" outlineLevel="0" collapsed="false">
      <c r="A241" s="7" t="n">
        <v>21</v>
      </c>
      <c r="B241" s="21" t="n">
        <v>46447</v>
      </c>
      <c r="C241" s="7" t="s">
        <v>135</v>
      </c>
      <c r="D241" s="7" t="s">
        <v>95</v>
      </c>
      <c r="E241" s="14" t="s">
        <v>40</v>
      </c>
      <c r="F241" s="14" t="s">
        <v>173</v>
      </c>
      <c r="G241" s="7" t="n">
        <v>45</v>
      </c>
      <c r="H241" s="22" t="n">
        <v>20</v>
      </c>
      <c r="I241" s="7" t="s">
        <v>304</v>
      </c>
      <c r="J241" s="7" t="s">
        <v>175</v>
      </c>
      <c r="K241" s="7" t="s">
        <v>176</v>
      </c>
      <c r="L241" s="7" t="s">
        <v>146</v>
      </c>
      <c r="M241" s="7" t="n">
        <v>0</v>
      </c>
      <c r="N241" s="7"/>
      <c r="O241" s="7"/>
      <c r="P241" s="7" t="s">
        <v>147</v>
      </c>
    </row>
    <row r="242" customFormat="false" ht="35.05" hidden="false" customHeight="false" outlineLevel="0" collapsed="false">
      <c r="A242" s="7" t="n">
        <v>21</v>
      </c>
      <c r="B242" s="21" t="n">
        <v>46448</v>
      </c>
      <c r="C242" s="7" t="s">
        <v>141</v>
      </c>
      <c r="D242" s="7" t="s">
        <v>95</v>
      </c>
      <c r="E242" s="14" t="s">
        <v>40</v>
      </c>
      <c r="F242" s="14" t="s">
        <v>255</v>
      </c>
      <c r="G242" s="7" t="n">
        <v>75</v>
      </c>
      <c r="H242" s="22" t="n">
        <v>38</v>
      </c>
      <c r="I242" s="7" t="s">
        <v>332</v>
      </c>
      <c r="J242" s="7" t="s">
        <v>306</v>
      </c>
      <c r="K242" s="7" t="s">
        <v>152</v>
      </c>
      <c r="L242" s="7" t="s">
        <v>240</v>
      </c>
      <c r="M242" s="7" t="n">
        <v>40</v>
      </c>
      <c r="N242" s="7"/>
      <c r="O242" s="7"/>
      <c r="P242" s="7" t="s">
        <v>147</v>
      </c>
    </row>
    <row r="243" customFormat="false" ht="35.05" hidden="false" customHeight="false" outlineLevel="0" collapsed="false">
      <c r="A243" s="7" t="n">
        <v>21</v>
      </c>
      <c r="B243" s="21" t="n">
        <v>46448</v>
      </c>
      <c r="C243" s="7" t="s">
        <v>141</v>
      </c>
      <c r="D243" s="7" t="s">
        <v>95</v>
      </c>
      <c r="E243" s="23" t="s">
        <v>148</v>
      </c>
      <c r="F243" s="23" t="s">
        <v>282</v>
      </c>
      <c r="G243" s="7" t="n">
        <v>40</v>
      </c>
      <c r="H243" s="22"/>
      <c r="I243" s="7" t="s">
        <v>283</v>
      </c>
      <c r="J243" s="7" t="s">
        <v>151</v>
      </c>
      <c r="K243" s="7" t="s">
        <v>152</v>
      </c>
      <c r="L243" s="7"/>
      <c r="M243" s="7" t="n">
        <v>0</v>
      </c>
      <c r="N243" s="7"/>
      <c r="O243" s="7"/>
      <c r="P243" s="7" t="s">
        <v>153</v>
      </c>
    </row>
    <row r="244" customFormat="false" ht="23.85" hidden="false" customHeight="false" outlineLevel="0" collapsed="false">
      <c r="A244" s="7" t="n">
        <v>21</v>
      </c>
      <c r="B244" s="21" t="n">
        <v>46449</v>
      </c>
      <c r="C244" s="7" t="s">
        <v>154</v>
      </c>
      <c r="D244" s="7" t="s">
        <v>95</v>
      </c>
      <c r="E244" s="18" t="s">
        <v>42</v>
      </c>
      <c r="F244" s="18" t="s">
        <v>155</v>
      </c>
      <c r="G244" s="7" t="n">
        <v>70</v>
      </c>
      <c r="H244" s="22" t="n">
        <v>3.3</v>
      </c>
      <c r="I244" s="7" t="s">
        <v>326</v>
      </c>
      <c r="J244" s="7" t="s">
        <v>157</v>
      </c>
      <c r="K244" s="7" t="s">
        <v>152</v>
      </c>
      <c r="L244" s="7"/>
      <c r="M244" s="7" t="n">
        <v>35</v>
      </c>
      <c r="N244" s="7"/>
      <c r="O244" s="7"/>
      <c r="P244" s="7" t="s">
        <v>140</v>
      </c>
    </row>
    <row r="245" customFormat="false" ht="35.05" hidden="false" customHeight="false" outlineLevel="0" collapsed="false">
      <c r="A245" s="7" t="n">
        <v>21</v>
      </c>
      <c r="B245" s="21" t="n">
        <v>46449</v>
      </c>
      <c r="C245" s="7" t="s">
        <v>154</v>
      </c>
      <c r="D245" s="7" t="s">
        <v>95</v>
      </c>
      <c r="E245" s="24" t="s">
        <v>184</v>
      </c>
      <c r="F245" s="24" t="s">
        <v>296</v>
      </c>
      <c r="G245" s="7" t="n">
        <v>45</v>
      </c>
      <c r="H245" s="22" t="n">
        <v>7.5</v>
      </c>
      <c r="I245" s="7" t="s">
        <v>333</v>
      </c>
      <c r="J245" s="7" t="s">
        <v>298</v>
      </c>
      <c r="K245" s="7" t="s">
        <v>299</v>
      </c>
      <c r="L245" s="7" t="s">
        <v>146</v>
      </c>
      <c r="M245" s="7" t="n">
        <v>28</v>
      </c>
      <c r="N245" s="7"/>
      <c r="O245" s="7"/>
      <c r="P245" s="7" t="s">
        <v>147</v>
      </c>
    </row>
    <row r="246" customFormat="false" ht="23.85" hidden="false" customHeight="false" outlineLevel="0" collapsed="false">
      <c r="A246" s="7" t="n">
        <v>21</v>
      </c>
      <c r="B246" s="21" t="n">
        <v>46450</v>
      </c>
      <c r="C246" s="7" t="s">
        <v>158</v>
      </c>
      <c r="D246" s="7" t="s">
        <v>95</v>
      </c>
      <c r="E246" s="14" t="s">
        <v>40</v>
      </c>
      <c r="F246" s="14" t="s">
        <v>159</v>
      </c>
      <c r="G246" s="7" t="n">
        <v>80</v>
      </c>
      <c r="H246" s="22" t="n">
        <v>40</v>
      </c>
      <c r="I246" s="7" t="s">
        <v>328</v>
      </c>
      <c r="J246" s="7" t="s">
        <v>161</v>
      </c>
      <c r="K246" s="7" t="s">
        <v>139</v>
      </c>
      <c r="L246" s="7" t="s">
        <v>240</v>
      </c>
      <c r="M246" s="7" t="n">
        <v>0</v>
      </c>
      <c r="N246" s="7"/>
      <c r="O246" s="7"/>
      <c r="P246" s="7" t="s">
        <v>147</v>
      </c>
    </row>
    <row r="247" customFormat="false" ht="23.85" hidden="false" customHeight="false" outlineLevel="0" collapsed="false">
      <c r="A247" s="7" t="n">
        <v>21</v>
      </c>
      <c r="B247" s="21" t="n">
        <v>46450</v>
      </c>
      <c r="C247" s="7" t="s">
        <v>158</v>
      </c>
      <c r="D247" s="7" t="s">
        <v>95</v>
      </c>
      <c r="E247" s="24" t="s">
        <v>184</v>
      </c>
      <c r="F247" s="24" t="s">
        <v>259</v>
      </c>
      <c r="G247" s="7" t="n">
        <v>40</v>
      </c>
      <c r="H247" s="22" t="n">
        <v>6.7</v>
      </c>
      <c r="I247" s="7" t="s">
        <v>334</v>
      </c>
      <c r="J247" s="7" t="s">
        <v>231</v>
      </c>
      <c r="K247" s="7" t="s">
        <v>139</v>
      </c>
      <c r="L247" s="7" t="s">
        <v>146</v>
      </c>
      <c r="M247" s="7" t="n">
        <v>2</v>
      </c>
      <c r="N247" s="7"/>
      <c r="O247" s="7"/>
      <c r="P247" s="7" t="s">
        <v>153</v>
      </c>
    </row>
    <row r="248" customFormat="false" ht="23.85" hidden="false" customHeight="false" outlineLevel="0" collapsed="false">
      <c r="A248" s="7" t="n">
        <v>21</v>
      </c>
      <c r="B248" s="21" t="n">
        <v>46451</v>
      </c>
      <c r="C248" s="7" t="s">
        <v>164</v>
      </c>
      <c r="D248" s="7" t="s">
        <v>95</v>
      </c>
      <c r="E248" s="18" t="s">
        <v>42</v>
      </c>
      <c r="F248" s="18" t="s">
        <v>165</v>
      </c>
      <c r="G248" s="7" t="n">
        <v>75</v>
      </c>
      <c r="H248" s="22" t="n">
        <v>3.8</v>
      </c>
      <c r="I248" s="7" t="s">
        <v>329</v>
      </c>
      <c r="J248" s="7" t="s">
        <v>138</v>
      </c>
      <c r="K248" s="7" t="s">
        <v>139</v>
      </c>
      <c r="L248" s="7"/>
      <c r="M248" s="7" t="n">
        <v>0</v>
      </c>
      <c r="N248" s="7"/>
      <c r="O248" s="7"/>
      <c r="P248" s="7" t="s">
        <v>140</v>
      </c>
    </row>
    <row r="249" customFormat="false" ht="35.05" hidden="false" customHeight="false" outlineLevel="0" collapsed="false">
      <c r="A249" s="7" t="n">
        <v>21</v>
      </c>
      <c r="B249" s="21" t="n">
        <v>46451</v>
      </c>
      <c r="C249" s="7" t="s">
        <v>164</v>
      </c>
      <c r="D249" s="7" t="s">
        <v>95</v>
      </c>
      <c r="E249" s="23" t="s">
        <v>148</v>
      </c>
      <c r="F249" s="23" t="s">
        <v>287</v>
      </c>
      <c r="G249" s="7" t="n">
        <v>30</v>
      </c>
      <c r="H249" s="22"/>
      <c r="I249" s="7" t="s">
        <v>288</v>
      </c>
      <c r="J249" s="7" t="s">
        <v>151</v>
      </c>
      <c r="K249" s="7" t="s">
        <v>152</v>
      </c>
      <c r="L249" s="7"/>
      <c r="M249" s="7" t="n">
        <v>0</v>
      </c>
      <c r="N249" s="7"/>
      <c r="O249" s="7"/>
      <c r="P249" s="7" t="s">
        <v>153</v>
      </c>
    </row>
    <row r="250" customFormat="false" ht="35.05" hidden="false" customHeight="false" outlineLevel="0" collapsed="false">
      <c r="A250" s="7" t="n">
        <v>21</v>
      </c>
      <c r="B250" s="21" t="n">
        <v>46452</v>
      </c>
      <c r="C250" s="7" t="s">
        <v>167</v>
      </c>
      <c r="D250" s="7" t="s">
        <v>95</v>
      </c>
      <c r="E250" s="14" t="s">
        <v>40</v>
      </c>
      <c r="F250" s="14" t="s">
        <v>168</v>
      </c>
      <c r="G250" s="7" t="n">
        <v>320</v>
      </c>
      <c r="H250" s="22" t="n">
        <v>160</v>
      </c>
      <c r="I250" s="7" t="s">
        <v>335</v>
      </c>
      <c r="J250" s="7" t="s">
        <v>290</v>
      </c>
      <c r="K250" s="7" t="s">
        <v>139</v>
      </c>
      <c r="L250" s="7" t="s">
        <v>291</v>
      </c>
      <c r="M250" s="7" t="n">
        <v>0</v>
      </c>
      <c r="N250" s="7"/>
      <c r="O250" s="7"/>
      <c r="P250" s="7" t="s">
        <v>147</v>
      </c>
    </row>
    <row r="251" customFormat="false" ht="35.05" hidden="false" customHeight="false" outlineLevel="0" collapsed="false">
      <c r="A251" s="7" t="n">
        <v>21</v>
      </c>
      <c r="B251" s="21" t="n">
        <v>46452</v>
      </c>
      <c r="C251" s="7" t="s">
        <v>167</v>
      </c>
      <c r="D251" s="7" t="s">
        <v>95</v>
      </c>
      <c r="E251" s="24" t="s">
        <v>184</v>
      </c>
      <c r="F251" s="24" t="s">
        <v>243</v>
      </c>
      <c r="G251" s="7" t="n">
        <v>25</v>
      </c>
      <c r="H251" s="22" t="n">
        <v>4.2</v>
      </c>
      <c r="I251" s="7" t="s">
        <v>336</v>
      </c>
      <c r="J251" s="7" t="s">
        <v>231</v>
      </c>
      <c r="K251" s="7" t="s">
        <v>245</v>
      </c>
      <c r="L251" s="7" t="s">
        <v>146</v>
      </c>
      <c r="M251" s="7" t="n">
        <v>0</v>
      </c>
      <c r="N251" s="7"/>
      <c r="O251" s="7"/>
      <c r="P251" s="7" t="s">
        <v>246</v>
      </c>
    </row>
    <row r="252" customFormat="false" ht="35.05" hidden="false" customHeight="false" outlineLevel="0" collapsed="false">
      <c r="A252" s="7" t="n">
        <v>21</v>
      </c>
      <c r="B252" s="21" t="n">
        <v>46453</v>
      </c>
      <c r="C252" s="7" t="s">
        <v>172</v>
      </c>
      <c r="D252" s="7" t="s">
        <v>95</v>
      </c>
      <c r="E252" s="18" t="s">
        <v>42</v>
      </c>
      <c r="F252" s="18" t="s">
        <v>312</v>
      </c>
      <c r="G252" s="7" t="n">
        <v>45</v>
      </c>
      <c r="H252" s="22" t="n">
        <v>2</v>
      </c>
      <c r="I252" s="7" t="s">
        <v>313</v>
      </c>
      <c r="J252" s="7" t="s">
        <v>314</v>
      </c>
      <c r="K252" s="7" t="s">
        <v>139</v>
      </c>
      <c r="L252" s="7"/>
      <c r="M252" s="7" t="n">
        <v>4</v>
      </c>
      <c r="N252" s="7"/>
      <c r="O252" s="7"/>
      <c r="P252" s="7" t="s">
        <v>262</v>
      </c>
    </row>
    <row r="253" customFormat="false" ht="35.05" hidden="false" customHeight="false" outlineLevel="0" collapsed="false">
      <c r="A253" s="7" t="n">
        <v>21</v>
      </c>
      <c r="B253" s="21" t="n">
        <v>46453</v>
      </c>
      <c r="C253" s="7" t="s">
        <v>172</v>
      </c>
      <c r="D253" s="7" t="s">
        <v>95</v>
      </c>
      <c r="E253" s="24" t="s">
        <v>184</v>
      </c>
      <c r="F253" s="24" t="s">
        <v>247</v>
      </c>
      <c r="G253" s="7" t="n">
        <v>110</v>
      </c>
      <c r="H253" s="22" t="n">
        <v>18.3</v>
      </c>
      <c r="I253" s="7" t="s">
        <v>337</v>
      </c>
      <c r="J253" s="7" t="s">
        <v>231</v>
      </c>
      <c r="K253" s="7" t="s">
        <v>139</v>
      </c>
      <c r="L253" s="7" t="s">
        <v>303</v>
      </c>
      <c r="M253" s="7" t="n">
        <v>0</v>
      </c>
      <c r="N253" s="7"/>
      <c r="O253" s="7"/>
      <c r="P253" s="7" t="s">
        <v>147</v>
      </c>
    </row>
    <row r="254" customFormat="false" ht="23.85" hidden="false" customHeight="false" outlineLevel="0" collapsed="false">
      <c r="A254" s="7" t="n">
        <v>22</v>
      </c>
      <c r="B254" s="21" t="n">
        <v>46454</v>
      </c>
      <c r="C254" s="7" t="s">
        <v>135</v>
      </c>
      <c r="D254" s="7" t="s">
        <v>95</v>
      </c>
      <c r="E254" s="14" t="s">
        <v>40</v>
      </c>
      <c r="F254" s="14" t="s">
        <v>173</v>
      </c>
      <c r="G254" s="7" t="n">
        <v>45</v>
      </c>
      <c r="H254" s="22" t="n">
        <v>20</v>
      </c>
      <c r="I254" s="7" t="s">
        <v>304</v>
      </c>
      <c r="J254" s="7" t="s">
        <v>175</v>
      </c>
      <c r="K254" s="7" t="s">
        <v>176</v>
      </c>
      <c r="L254" s="7" t="s">
        <v>146</v>
      </c>
      <c r="M254" s="7" t="n">
        <v>0</v>
      </c>
      <c r="N254" s="7"/>
      <c r="O254" s="7"/>
      <c r="P254" s="7" t="s">
        <v>147</v>
      </c>
    </row>
    <row r="255" customFormat="false" ht="23.85" hidden="false" customHeight="false" outlineLevel="0" collapsed="false">
      <c r="A255" s="7" t="n">
        <v>22</v>
      </c>
      <c r="B255" s="21" t="n">
        <v>46454</v>
      </c>
      <c r="C255" s="7" t="s">
        <v>135</v>
      </c>
      <c r="D255" s="7" t="s">
        <v>95</v>
      </c>
      <c r="E255" s="23" t="s">
        <v>148</v>
      </c>
      <c r="F255" s="23" t="s">
        <v>282</v>
      </c>
      <c r="G255" s="7" t="n">
        <v>30</v>
      </c>
      <c r="H255" s="22"/>
      <c r="I255" s="7" t="s">
        <v>316</v>
      </c>
      <c r="J255" s="7" t="s">
        <v>151</v>
      </c>
      <c r="K255" s="7" t="s">
        <v>152</v>
      </c>
      <c r="L255" s="7"/>
      <c r="M255" s="7" t="n">
        <v>0</v>
      </c>
      <c r="N255" s="7"/>
      <c r="O255" s="7"/>
      <c r="P255" s="7" t="s">
        <v>153</v>
      </c>
    </row>
    <row r="256" customFormat="false" ht="23.85" hidden="false" customHeight="false" outlineLevel="0" collapsed="false">
      <c r="A256" s="7" t="n">
        <v>22</v>
      </c>
      <c r="B256" s="21" t="n">
        <v>46455</v>
      </c>
      <c r="C256" s="7" t="s">
        <v>141</v>
      </c>
      <c r="D256" s="7" t="s">
        <v>95</v>
      </c>
      <c r="E256" s="14" t="s">
        <v>40</v>
      </c>
      <c r="F256" s="14" t="s">
        <v>218</v>
      </c>
      <c r="G256" s="7" t="n">
        <v>45</v>
      </c>
      <c r="H256" s="22" t="n">
        <v>18</v>
      </c>
      <c r="I256" s="7" t="s">
        <v>219</v>
      </c>
      <c r="J256" s="7" t="s">
        <v>220</v>
      </c>
      <c r="K256" s="7" t="s">
        <v>221</v>
      </c>
      <c r="L256" s="7" t="s">
        <v>146</v>
      </c>
      <c r="M256" s="7" t="n">
        <v>8</v>
      </c>
      <c r="N256" s="7"/>
      <c r="O256" s="7"/>
      <c r="P256" s="7" t="s">
        <v>147</v>
      </c>
    </row>
    <row r="257" customFormat="false" ht="23.85" hidden="false" customHeight="false" outlineLevel="0" collapsed="false">
      <c r="A257" s="7" t="n">
        <v>22</v>
      </c>
      <c r="B257" s="21" t="n">
        <v>46455</v>
      </c>
      <c r="C257" s="7" t="s">
        <v>141</v>
      </c>
      <c r="D257" s="7" t="s">
        <v>95</v>
      </c>
      <c r="E257" s="24" t="s">
        <v>184</v>
      </c>
      <c r="F257" s="24" t="s">
        <v>229</v>
      </c>
      <c r="G257" s="7" t="n">
        <v>35</v>
      </c>
      <c r="H257" s="22" t="n">
        <v>5.8</v>
      </c>
      <c r="I257" s="7" t="s">
        <v>264</v>
      </c>
      <c r="J257" s="7" t="s">
        <v>231</v>
      </c>
      <c r="K257" s="7" t="s">
        <v>139</v>
      </c>
      <c r="L257" s="7" t="s">
        <v>146</v>
      </c>
      <c r="M257" s="7" t="n">
        <v>0</v>
      </c>
      <c r="N257" s="7"/>
      <c r="O257" s="7"/>
      <c r="P257" s="7" t="s">
        <v>153</v>
      </c>
    </row>
    <row r="258" customFormat="false" ht="23.85" hidden="false" customHeight="false" outlineLevel="0" collapsed="false">
      <c r="A258" s="7" t="n">
        <v>22</v>
      </c>
      <c r="B258" s="21" t="n">
        <v>46456</v>
      </c>
      <c r="C258" s="7" t="s">
        <v>154</v>
      </c>
      <c r="D258" s="7" t="s">
        <v>95</v>
      </c>
      <c r="E258" s="18" t="s">
        <v>42</v>
      </c>
      <c r="F258" s="18" t="s">
        <v>155</v>
      </c>
      <c r="G258" s="7" t="n">
        <v>55</v>
      </c>
      <c r="H258" s="22" t="n">
        <v>2.6</v>
      </c>
      <c r="I258" s="7" t="s">
        <v>338</v>
      </c>
      <c r="J258" s="7" t="s">
        <v>157</v>
      </c>
      <c r="K258" s="7" t="s">
        <v>152</v>
      </c>
      <c r="L258" s="7"/>
      <c r="M258" s="7" t="n">
        <v>26</v>
      </c>
      <c r="N258" s="7"/>
      <c r="O258" s="7"/>
      <c r="P258" s="7" t="s">
        <v>140</v>
      </c>
    </row>
    <row r="259" customFormat="false" ht="23.85" hidden="false" customHeight="false" outlineLevel="0" collapsed="false">
      <c r="A259" s="7" t="n">
        <v>22</v>
      </c>
      <c r="B259" s="21" t="n">
        <v>46456</v>
      </c>
      <c r="C259" s="7" t="s">
        <v>154</v>
      </c>
      <c r="D259" s="7" t="s">
        <v>95</v>
      </c>
      <c r="E259" s="24" t="s">
        <v>184</v>
      </c>
      <c r="F259" s="24" t="s">
        <v>229</v>
      </c>
      <c r="G259" s="7" t="n">
        <v>35</v>
      </c>
      <c r="H259" s="22" t="n">
        <v>5.8</v>
      </c>
      <c r="I259" s="7" t="s">
        <v>264</v>
      </c>
      <c r="J259" s="7" t="s">
        <v>231</v>
      </c>
      <c r="K259" s="7" t="s">
        <v>139</v>
      </c>
      <c r="L259" s="7" t="s">
        <v>146</v>
      </c>
      <c r="M259" s="7" t="n">
        <v>0</v>
      </c>
      <c r="N259" s="7"/>
      <c r="O259" s="7"/>
      <c r="P259" s="7" t="s">
        <v>147</v>
      </c>
    </row>
    <row r="260" customFormat="false" ht="23.85" hidden="false" customHeight="false" outlineLevel="0" collapsed="false">
      <c r="A260" s="7" t="n">
        <v>22</v>
      </c>
      <c r="B260" s="21" t="n">
        <v>46457</v>
      </c>
      <c r="C260" s="7" t="s">
        <v>158</v>
      </c>
      <c r="D260" s="7" t="s">
        <v>95</v>
      </c>
      <c r="E260" s="14" t="s">
        <v>40</v>
      </c>
      <c r="F260" s="14" t="s">
        <v>159</v>
      </c>
      <c r="G260" s="7" t="n">
        <v>60</v>
      </c>
      <c r="H260" s="22" t="n">
        <v>30</v>
      </c>
      <c r="I260" s="7" t="s">
        <v>339</v>
      </c>
      <c r="J260" s="7" t="s">
        <v>161</v>
      </c>
      <c r="K260" s="7" t="s">
        <v>139</v>
      </c>
      <c r="L260" s="7" t="s">
        <v>146</v>
      </c>
      <c r="M260" s="7" t="n">
        <v>0</v>
      </c>
      <c r="N260" s="7"/>
      <c r="O260" s="7"/>
      <c r="P260" s="7" t="s">
        <v>147</v>
      </c>
    </row>
    <row r="261" customFormat="false" ht="23.85" hidden="false" customHeight="false" outlineLevel="0" collapsed="false">
      <c r="A261" s="7" t="n">
        <v>22</v>
      </c>
      <c r="B261" s="21" t="n">
        <v>46457</v>
      </c>
      <c r="C261" s="7" t="s">
        <v>158</v>
      </c>
      <c r="D261" s="7" t="s">
        <v>95</v>
      </c>
      <c r="E261" s="24" t="s">
        <v>184</v>
      </c>
      <c r="F261" s="24" t="s">
        <v>259</v>
      </c>
      <c r="G261" s="7" t="n">
        <v>35</v>
      </c>
      <c r="H261" s="22" t="n">
        <v>5.8</v>
      </c>
      <c r="I261" s="7" t="s">
        <v>272</v>
      </c>
      <c r="J261" s="7" t="s">
        <v>231</v>
      </c>
      <c r="K261" s="7" t="s">
        <v>139</v>
      </c>
      <c r="L261" s="7" t="s">
        <v>146</v>
      </c>
      <c r="M261" s="7" t="n">
        <v>2</v>
      </c>
      <c r="N261" s="7"/>
      <c r="O261" s="7"/>
      <c r="P261" s="7" t="s">
        <v>153</v>
      </c>
    </row>
    <row r="262" customFormat="false" ht="23.85" hidden="false" customHeight="false" outlineLevel="0" collapsed="false">
      <c r="A262" s="7" t="n">
        <v>22</v>
      </c>
      <c r="B262" s="21" t="n">
        <v>46458</v>
      </c>
      <c r="C262" s="7" t="s">
        <v>164</v>
      </c>
      <c r="D262" s="7" t="s">
        <v>95</v>
      </c>
      <c r="E262" s="18" t="s">
        <v>42</v>
      </c>
      <c r="F262" s="18" t="s">
        <v>214</v>
      </c>
      <c r="G262" s="7" t="n">
        <v>45</v>
      </c>
      <c r="H262" s="22" t="n">
        <v>2</v>
      </c>
      <c r="I262" s="7" t="s">
        <v>317</v>
      </c>
      <c r="J262" s="7" t="s">
        <v>216</v>
      </c>
      <c r="K262" s="7" t="s">
        <v>217</v>
      </c>
      <c r="L262" s="7"/>
      <c r="M262" s="7" t="n">
        <v>0</v>
      </c>
      <c r="N262" s="7"/>
      <c r="O262" s="7"/>
      <c r="P262" s="7" t="s">
        <v>140</v>
      </c>
    </row>
    <row r="263" customFormat="false" ht="35.05" hidden="false" customHeight="false" outlineLevel="0" collapsed="false">
      <c r="A263" s="7" t="n">
        <v>22</v>
      </c>
      <c r="B263" s="21" t="n">
        <v>46458</v>
      </c>
      <c r="C263" s="7" t="s">
        <v>164</v>
      </c>
      <c r="D263" s="7" t="s">
        <v>95</v>
      </c>
      <c r="E263" s="23" t="s">
        <v>148</v>
      </c>
      <c r="F263" s="23" t="s">
        <v>287</v>
      </c>
      <c r="G263" s="7" t="n">
        <v>25</v>
      </c>
      <c r="H263" s="22"/>
      <c r="I263" s="7" t="s">
        <v>288</v>
      </c>
      <c r="J263" s="7" t="s">
        <v>151</v>
      </c>
      <c r="K263" s="7" t="s">
        <v>152</v>
      </c>
      <c r="L263" s="7"/>
      <c r="M263" s="7" t="n">
        <v>0</v>
      </c>
      <c r="N263" s="7"/>
      <c r="O263" s="7"/>
      <c r="P263" s="7" t="s">
        <v>153</v>
      </c>
    </row>
    <row r="264" customFormat="false" ht="35.05" hidden="false" customHeight="false" outlineLevel="0" collapsed="false">
      <c r="A264" s="7" t="n">
        <v>22</v>
      </c>
      <c r="B264" s="21" t="n">
        <v>46459</v>
      </c>
      <c r="C264" s="7" t="s">
        <v>167</v>
      </c>
      <c r="D264" s="7" t="s">
        <v>95</v>
      </c>
      <c r="E264" s="14" t="s">
        <v>40</v>
      </c>
      <c r="F264" s="14" t="s">
        <v>168</v>
      </c>
      <c r="G264" s="7" t="n">
        <v>180</v>
      </c>
      <c r="H264" s="22" t="n">
        <v>90</v>
      </c>
      <c r="I264" s="7" t="s">
        <v>340</v>
      </c>
      <c r="J264" s="7" t="s">
        <v>290</v>
      </c>
      <c r="K264" s="7" t="s">
        <v>139</v>
      </c>
      <c r="L264" s="7" t="s">
        <v>291</v>
      </c>
      <c r="M264" s="7" t="n">
        <v>0</v>
      </c>
      <c r="N264" s="7"/>
      <c r="O264" s="7"/>
      <c r="P264" s="7" t="s">
        <v>147</v>
      </c>
    </row>
    <row r="265" customFormat="false" ht="35.05" hidden="false" customHeight="false" outlineLevel="0" collapsed="false">
      <c r="A265" s="7" t="n">
        <v>22</v>
      </c>
      <c r="B265" s="21" t="n">
        <v>46459</v>
      </c>
      <c r="C265" s="7" t="s">
        <v>167</v>
      </c>
      <c r="D265" s="7" t="s">
        <v>95</v>
      </c>
      <c r="E265" s="24" t="s">
        <v>184</v>
      </c>
      <c r="F265" s="24" t="s">
        <v>243</v>
      </c>
      <c r="G265" s="7" t="n">
        <v>15</v>
      </c>
      <c r="H265" s="22" t="n">
        <v>2.5</v>
      </c>
      <c r="I265" s="7" t="s">
        <v>292</v>
      </c>
      <c r="J265" s="7" t="s">
        <v>231</v>
      </c>
      <c r="K265" s="7" t="s">
        <v>245</v>
      </c>
      <c r="L265" s="7" t="s">
        <v>146</v>
      </c>
      <c r="M265" s="7" t="n">
        <v>0</v>
      </c>
      <c r="N265" s="7"/>
      <c r="O265" s="7"/>
      <c r="P265" s="7" t="s">
        <v>246</v>
      </c>
    </row>
    <row r="266" customFormat="false" ht="35.05" hidden="false" customHeight="false" outlineLevel="0" collapsed="false">
      <c r="A266" s="7" t="n">
        <v>22</v>
      </c>
      <c r="B266" s="21" t="n">
        <v>46460</v>
      </c>
      <c r="C266" s="7" t="s">
        <v>172</v>
      </c>
      <c r="D266" s="7" t="s">
        <v>95</v>
      </c>
      <c r="E266" s="18" t="s">
        <v>42</v>
      </c>
      <c r="F266" s="18" t="s">
        <v>312</v>
      </c>
      <c r="G266" s="7" t="n">
        <v>40</v>
      </c>
      <c r="H266" s="22" t="n">
        <v>1.8</v>
      </c>
      <c r="I266" s="7" t="s">
        <v>313</v>
      </c>
      <c r="J266" s="7" t="s">
        <v>314</v>
      </c>
      <c r="K266" s="7" t="s">
        <v>139</v>
      </c>
      <c r="L266" s="7"/>
      <c r="M266" s="7" t="n">
        <v>4</v>
      </c>
      <c r="N266" s="7"/>
      <c r="O266" s="7"/>
      <c r="P266" s="7" t="s">
        <v>262</v>
      </c>
    </row>
    <row r="267" customFormat="false" ht="35.05" hidden="false" customHeight="false" outlineLevel="0" collapsed="false">
      <c r="A267" s="7" t="n">
        <v>22</v>
      </c>
      <c r="B267" s="21" t="n">
        <v>46460</v>
      </c>
      <c r="C267" s="7" t="s">
        <v>172</v>
      </c>
      <c r="D267" s="7" t="s">
        <v>95</v>
      </c>
      <c r="E267" s="24" t="s">
        <v>184</v>
      </c>
      <c r="F267" s="24" t="s">
        <v>247</v>
      </c>
      <c r="G267" s="7" t="n">
        <v>80</v>
      </c>
      <c r="H267" s="22" t="n">
        <v>13.3</v>
      </c>
      <c r="I267" s="7" t="s">
        <v>341</v>
      </c>
      <c r="J267" s="7" t="s">
        <v>231</v>
      </c>
      <c r="K267" s="7" t="s">
        <v>139</v>
      </c>
      <c r="L267" s="7" t="s">
        <v>303</v>
      </c>
      <c r="M267" s="7" t="n">
        <v>0</v>
      </c>
      <c r="N267" s="7"/>
      <c r="O267" s="7"/>
      <c r="P267" s="7" t="s">
        <v>147</v>
      </c>
    </row>
    <row r="268" customFormat="false" ht="23.85" hidden="false" customHeight="false" outlineLevel="0" collapsed="false">
      <c r="A268" s="7" t="n">
        <v>23</v>
      </c>
      <c r="B268" s="21" t="n">
        <v>46461</v>
      </c>
      <c r="C268" s="7" t="s">
        <v>135</v>
      </c>
      <c r="D268" s="7" t="s">
        <v>100</v>
      </c>
      <c r="E268" s="18" t="s">
        <v>42</v>
      </c>
      <c r="F268" s="18" t="s">
        <v>136</v>
      </c>
      <c r="G268" s="7" t="n">
        <v>50</v>
      </c>
      <c r="H268" s="22" t="n">
        <v>2.5</v>
      </c>
      <c r="I268" s="7" t="s">
        <v>342</v>
      </c>
      <c r="J268" s="7" t="s">
        <v>138</v>
      </c>
      <c r="K268" s="7" t="s">
        <v>139</v>
      </c>
      <c r="L268" s="7"/>
      <c r="M268" s="7" t="n">
        <v>0</v>
      </c>
      <c r="N268" s="7"/>
      <c r="O268" s="7"/>
      <c r="P268" s="7" t="s">
        <v>140</v>
      </c>
    </row>
    <row r="269" customFormat="false" ht="23.85" hidden="false" customHeight="false" outlineLevel="0" collapsed="false">
      <c r="A269" s="7" t="n">
        <v>23</v>
      </c>
      <c r="B269" s="21" t="n">
        <v>46461</v>
      </c>
      <c r="C269" s="7" t="s">
        <v>135</v>
      </c>
      <c r="D269" s="7" t="s">
        <v>100</v>
      </c>
      <c r="E269" s="23" t="s">
        <v>148</v>
      </c>
      <c r="F269" s="23" t="s">
        <v>343</v>
      </c>
      <c r="G269" s="7" t="n">
        <v>25</v>
      </c>
      <c r="H269" s="22"/>
      <c r="I269" s="7" t="s">
        <v>344</v>
      </c>
      <c r="J269" s="7" t="s">
        <v>151</v>
      </c>
      <c r="K269" s="7" t="s">
        <v>152</v>
      </c>
      <c r="L269" s="7"/>
      <c r="M269" s="7" t="n">
        <v>0</v>
      </c>
      <c r="N269" s="7"/>
      <c r="O269" s="7"/>
      <c r="P269" s="7" t="s">
        <v>153</v>
      </c>
    </row>
    <row r="270" customFormat="false" ht="23.85" hidden="false" customHeight="false" outlineLevel="0" collapsed="false">
      <c r="A270" s="7" t="n">
        <v>23</v>
      </c>
      <c r="B270" s="21" t="n">
        <v>46462</v>
      </c>
      <c r="C270" s="7" t="s">
        <v>141</v>
      </c>
      <c r="D270" s="7" t="s">
        <v>100</v>
      </c>
      <c r="E270" s="14" t="s">
        <v>40</v>
      </c>
      <c r="F270" s="14" t="s">
        <v>345</v>
      </c>
      <c r="G270" s="7" t="n">
        <v>60</v>
      </c>
      <c r="H270" s="22" t="n">
        <v>30</v>
      </c>
      <c r="I270" s="7" t="s">
        <v>346</v>
      </c>
      <c r="J270" s="7" t="s">
        <v>347</v>
      </c>
      <c r="K270" s="7" t="s">
        <v>348</v>
      </c>
      <c r="L270" s="7" t="s">
        <v>146</v>
      </c>
      <c r="M270" s="7" t="n">
        <v>24</v>
      </c>
      <c r="N270" s="7"/>
      <c r="O270" s="7"/>
      <c r="P270" s="7" t="s">
        <v>147</v>
      </c>
    </row>
    <row r="271" customFormat="false" ht="23.85" hidden="false" customHeight="false" outlineLevel="0" collapsed="false">
      <c r="A271" s="7" t="n">
        <v>23</v>
      </c>
      <c r="B271" s="21" t="n">
        <v>46462</v>
      </c>
      <c r="C271" s="7" t="s">
        <v>141</v>
      </c>
      <c r="D271" s="7" t="s">
        <v>100</v>
      </c>
      <c r="E271" s="24" t="s">
        <v>184</v>
      </c>
      <c r="F271" s="24" t="s">
        <v>259</v>
      </c>
      <c r="G271" s="7" t="n">
        <v>30</v>
      </c>
      <c r="H271" s="22" t="n">
        <v>5</v>
      </c>
      <c r="I271" s="7" t="s">
        <v>260</v>
      </c>
      <c r="J271" s="7" t="s">
        <v>231</v>
      </c>
      <c r="K271" s="7" t="s">
        <v>139</v>
      </c>
      <c r="L271" s="7" t="s">
        <v>146</v>
      </c>
      <c r="M271" s="7" t="n">
        <v>2</v>
      </c>
      <c r="N271" s="7"/>
      <c r="O271" s="7"/>
      <c r="P271" s="7" t="s">
        <v>153</v>
      </c>
    </row>
    <row r="272" customFormat="false" ht="23.85" hidden="false" customHeight="false" outlineLevel="0" collapsed="false">
      <c r="A272" s="7" t="n">
        <v>23</v>
      </c>
      <c r="B272" s="21" t="n">
        <v>46463</v>
      </c>
      <c r="C272" s="7" t="s">
        <v>154</v>
      </c>
      <c r="D272" s="7" t="s">
        <v>100</v>
      </c>
      <c r="E272" s="18" t="s">
        <v>42</v>
      </c>
      <c r="F272" s="18" t="s">
        <v>155</v>
      </c>
      <c r="G272" s="7" t="n">
        <v>45</v>
      </c>
      <c r="H272" s="22" t="n">
        <v>2.1</v>
      </c>
      <c r="I272" s="7" t="s">
        <v>349</v>
      </c>
      <c r="J272" s="7" t="s">
        <v>157</v>
      </c>
      <c r="K272" s="7" t="s">
        <v>152</v>
      </c>
      <c r="L272" s="7"/>
      <c r="M272" s="7" t="n">
        <v>19</v>
      </c>
      <c r="N272" s="7"/>
      <c r="O272" s="7"/>
      <c r="P272" s="7" t="s">
        <v>140</v>
      </c>
    </row>
    <row r="273" customFormat="false" ht="23.85" hidden="false" customHeight="false" outlineLevel="0" collapsed="false">
      <c r="A273" s="7" t="n">
        <v>23</v>
      </c>
      <c r="B273" s="21" t="n">
        <v>46463</v>
      </c>
      <c r="C273" s="7" t="s">
        <v>154</v>
      </c>
      <c r="D273" s="7" t="s">
        <v>100</v>
      </c>
      <c r="E273" s="24" t="s">
        <v>184</v>
      </c>
      <c r="F273" s="24" t="s">
        <v>229</v>
      </c>
      <c r="G273" s="7" t="n">
        <v>25</v>
      </c>
      <c r="H273" s="22" t="n">
        <v>4.2</v>
      </c>
      <c r="I273" s="7" t="s">
        <v>252</v>
      </c>
      <c r="J273" s="7" t="s">
        <v>231</v>
      </c>
      <c r="K273" s="7" t="s">
        <v>139</v>
      </c>
      <c r="L273" s="7" t="s">
        <v>146</v>
      </c>
      <c r="M273" s="7" t="n">
        <v>0</v>
      </c>
      <c r="N273" s="7"/>
      <c r="O273" s="7"/>
      <c r="P273" s="7" t="s">
        <v>147</v>
      </c>
    </row>
    <row r="274" customFormat="false" ht="35.05" hidden="false" customHeight="false" outlineLevel="0" collapsed="false">
      <c r="A274" s="7" t="n">
        <v>23</v>
      </c>
      <c r="B274" s="21" t="n">
        <v>46464</v>
      </c>
      <c r="C274" s="7" t="s">
        <v>158</v>
      </c>
      <c r="D274" s="7" t="s">
        <v>100</v>
      </c>
      <c r="E274" s="18" t="s">
        <v>42</v>
      </c>
      <c r="F274" s="18" t="s">
        <v>312</v>
      </c>
      <c r="G274" s="7" t="n">
        <v>30</v>
      </c>
      <c r="H274" s="22" t="n">
        <v>1.4</v>
      </c>
      <c r="I274" s="7" t="s">
        <v>313</v>
      </c>
      <c r="J274" s="7" t="s">
        <v>314</v>
      </c>
      <c r="K274" s="7" t="s">
        <v>139</v>
      </c>
      <c r="L274" s="7"/>
      <c r="M274" s="7" t="n">
        <v>3</v>
      </c>
      <c r="N274" s="7"/>
      <c r="O274" s="7"/>
      <c r="P274" s="7" t="s">
        <v>140</v>
      </c>
    </row>
    <row r="275" customFormat="false" ht="23.85" hidden="false" customHeight="false" outlineLevel="0" collapsed="false">
      <c r="A275" s="7" t="n">
        <v>23</v>
      </c>
      <c r="B275" s="21" t="n">
        <v>46464</v>
      </c>
      <c r="C275" s="7" t="s">
        <v>158</v>
      </c>
      <c r="D275" s="7" t="s">
        <v>100</v>
      </c>
      <c r="E275" s="14" t="s">
        <v>40</v>
      </c>
      <c r="F275" s="14" t="s">
        <v>350</v>
      </c>
      <c r="G275" s="7" t="n">
        <v>50</v>
      </c>
      <c r="H275" s="22" t="n">
        <v>25</v>
      </c>
      <c r="I275" s="7" t="s">
        <v>351</v>
      </c>
      <c r="J275" s="7" t="s">
        <v>352</v>
      </c>
      <c r="K275" s="7" t="s">
        <v>353</v>
      </c>
      <c r="L275" s="7" t="s">
        <v>146</v>
      </c>
      <c r="M275" s="7" t="n">
        <v>5</v>
      </c>
      <c r="N275" s="7"/>
      <c r="O275" s="7"/>
      <c r="P275" s="7" t="s">
        <v>147</v>
      </c>
    </row>
    <row r="276" customFormat="false" ht="23.85" hidden="false" customHeight="false" outlineLevel="0" collapsed="false">
      <c r="A276" s="7" t="n">
        <v>23</v>
      </c>
      <c r="B276" s="21" t="n">
        <v>46465</v>
      </c>
      <c r="C276" s="7" t="s">
        <v>164</v>
      </c>
      <c r="D276" s="7" t="s">
        <v>100</v>
      </c>
      <c r="E276" s="12" t="s">
        <v>181</v>
      </c>
      <c r="F276" s="12" t="s">
        <v>181</v>
      </c>
      <c r="G276" s="7" t="n">
        <v>0</v>
      </c>
      <c r="H276" s="22"/>
      <c r="I276" s="7" t="s">
        <v>193</v>
      </c>
      <c r="J276" s="7" t="s">
        <v>71</v>
      </c>
      <c r="K276" s="7" t="s">
        <v>71</v>
      </c>
      <c r="L276" s="7"/>
      <c r="M276" s="7" t="n">
        <v>0</v>
      </c>
      <c r="N276" s="7"/>
      <c r="O276" s="7"/>
      <c r="P276" s="7"/>
    </row>
    <row r="277" customFormat="false" ht="23.85" hidden="false" customHeight="false" outlineLevel="0" collapsed="false">
      <c r="A277" s="7" t="n">
        <v>23</v>
      </c>
      <c r="B277" s="21" t="n">
        <v>46466</v>
      </c>
      <c r="C277" s="7" t="s">
        <v>167</v>
      </c>
      <c r="D277" s="7" t="s">
        <v>100</v>
      </c>
      <c r="E277" s="14" t="s">
        <v>40</v>
      </c>
      <c r="F277" s="14" t="s">
        <v>350</v>
      </c>
      <c r="G277" s="7" t="n">
        <v>30</v>
      </c>
      <c r="H277" s="22" t="n">
        <v>15</v>
      </c>
      <c r="I277" s="7" t="s">
        <v>354</v>
      </c>
      <c r="J277" s="7" t="s">
        <v>352</v>
      </c>
      <c r="K277" s="7" t="s">
        <v>353</v>
      </c>
      <c r="L277" s="7" t="s">
        <v>146</v>
      </c>
      <c r="M277" s="7" t="n">
        <v>5</v>
      </c>
      <c r="N277" s="7"/>
      <c r="O277" s="7"/>
      <c r="P277" s="7" t="s">
        <v>147</v>
      </c>
    </row>
    <row r="278" customFormat="false" ht="23.85" hidden="false" customHeight="false" outlineLevel="0" collapsed="false">
      <c r="A278" s="7" t="n">
        <v>23</v>
      </c>
      <c r="B278" s="21" t="n">
        <v>46466</v>
      </c>
      <c r="C278" s="7" t="s">
        <v>167</v>
      </c>
      <c r="D278" s="7" t="s">
        <v>100</v>
      </c>
      <c r="E278" s="24" t="s">
        <v>184</v>
      </c>
      <c r="F278" s="24" t="s">
        <v>355</v>
      </c>
      <c r="G278" s="7" t="n">
        <v>15</v>
      </c>
      <c r="H278" s="22" t="n">
        <v>2.5</v>
      </c>
      <c r="I278" s="7" t="s">
        <v>356</v>
      </c>
      <c r="J278" s="7" t="s">
        <v>187</v>
      </c>
      <c r="K278" s="7" t="s">
        <v>217</v>
      </c>
      <c r="L278" s="7" t="s">
        <v>146</v>
      </c>
      <c r="M278" s="7" t="n">
        <v>1</v>
      </c>
      <c r="N278" s="7"/>
      <c r="O278" s="7"/>
      <c r="P278" s="7" t="s">
        <v>147</v>
      </c>
    </row>
    <row r="279" customFormat="false" ht="35.05" hidden="false" customHeight="false" outlineLevel="0" collapsed="false">
      <c r="A279" s="25" t="n">
        <v>23</v>
      </c>
      <c r="B279" s="26" t="n">
        <v>46467</v>
      </c>
      <c r="C279" s="25" t="s">
        <v>172</v>
      </c>
      <c r="D279" s="25" t="s">
        <v>100</v>
      </c>
      <c r="E279" s="27" t="s">
        <v>357</v>
      </c>
      <c r="F279" s="27" t="s">
        <v>358</v>
      </c>
      <c r="G279" s="25" t="n">
        <v>300</v>
      </c>
      <c r="H279" s="28" t="n">
        <v>100</v>
      </c>
      <c r="I279" s="25" t="s">
        <v>359</v>
      </c>
      <c r="J279" s="25" t="s">
        <v>360</v>
      </c>
      <c r="K279" s="25" t="s">
        <v>361</v>
      </c>
      <c r="L279" s="25" t="s">
        <v>362</v>
      </c>
      <c r="M279" s="25" t="n">
        <v>60</v>
      </c>
      <c r="N279" s="25"/>
      <c r="O279" s="25"/>
      <c r="P279" s="25" t="s">
        <v>357</v>
      </c>
    </row>
    <row r="280" customFormat="false" ht="23.85" hidden="false" customHeight="false" outlineLevel="0" collapsed="false">
      <c r="A280" s="7" t="n">
        <v>24</v>
      </c>
      <c r="B280" s="21" t="n">
        <v>46468</v>
      </c>
      <c r="C280" s="7" t="s">
        <v>135</v>
      </c>
      <c r="D280" s="7" t="s">
        <v>103</v>
      </c>
      <c r="E280" s="12" t="s">
        <v>181</v>
      </c>
      <c r="F280" s="12" t="s">
        <v>181</v>
      </c>
      <c r="G280" s="7" t="n">
        <v>0</v>
      </c>
      <c r="H280" s="22"/>
      <c r="I280" s="7" t="s">
        <v>193</v>
      </c>
      <c r="J280" s="7" t="s">
        <v>71</v>
      </c>
      <c r="K280" s="7" t="s">
        <v>71</v>
      </c>
      <c r="L280" s="7"/>
      <c r="M280" s="7" t="n">
        <v>0</v>
      </c>
      <c r="N280" s="7"/>
      <c r="O280" s="7"/>
      <c r="P280" s="7"/>
    </row>
    <row r="281" customFormat="false" ht="23.85" hidden="false" customHeight="false" outlineLevel="0" collapsed="false">
      <c r="A281" s="7" t="n">
        <v>24</v>
      </c>
      <c r="B281" s="21" t="n">
        <v>46469</v>
      </c>
      <c r="C281" s="7" t="s">
        <v>141</v>
      </c>
      <c r="D281" s="7" t="s">
        <v>103</v>
      </c>
      <c r="E281" s="14" t="s">
        <v>40</v>
      </c>
      <c r="F281" s="14" t="s">
        <v>173</v>
      </c>
      <c r="G281" s="7" t="n">
        <v>45</v>
      </c>
      <c r="H281" s="22" t="n">
        <v>20</v>
      </c>
      <c r="I281" s="7" t="s">
        <v>251</v>
      </c>
      <c r="J281" s="7" t="s">
        <v>175</v>
      </c>
      <c r="K281" s="7" t="s">
        <v>176</v>
      </c>
      <c r="L281" s="7" t="s">
        <v>146</v>
      </c>
      <c r="M281" s="7" t="n">
        <v>0</v>
      </c>
      <c r="N281" s="7"/>
      <c r="O281" s="7"/>
      <c r="P281" s="7" t="s">
        <v>147</v>
      </c>
    </row>
    <row r="282" customFormat="false" ht="23.85" hidden="false" customHeight="false" outlineLevel="0" collapsed="false">
      <c r="A282" s="7" t="n">
        <v>24</v>
      </c>
      <c r="B282" s="21" t="n">
        <v>46470</v>
      </c>
      <c r="C282" s="7" t="s">
        <v>154</v>
      </c>
      <c r="D282" s="7" t="s">
        <v>103</v>
      </c>
      <c r="E282" s="18" t="s">
        <v>42</v>
      </c>
      <c r="F282" s="18" t="s">
        <v>136</v>
      </c>
      <c r="G282" s="7" t="n">
        <v>50</v>
      </c>
      <c r="H282" s="22" t="n">
        <v>2.5</v>
      </c>
      <c r="I282" s="7" t="s">
        <v>342</v>
      </c>
      <c r="J282" s="7" t="s">
        <v>138</v>
      </c>
      <c r="K282" s="7" t="s">
        <v>139</v>
      </c>
      <c r="L282" s="7"/>
      <c r="M282" s="7" t="n">
        <v>0</v>
      </c>
      <c r="N282" s="7"/>
      <c r="O282" s="7"/>
      <c r="P282" s="7" t="s">
        <v>140</v>
      </c>
    </row>
    <row r="283" customFormat="false" ht="23.85" hidden="false" customHeight="false" outlineLevel="0" collapsed="false">
      <c r="A283" s="7" t="n">
        <v>24</v>
      </c>
      <c r="B283" s="21" t="n">
        <v>46470</v>
      </c>
      <c r="C283" s="7" t="s">
        <v>154</v>
      </c>
      <c r="D283" s="7" t="s">
        <v>103</v>
      </c>
      <c r="E283" s="23" t="s">
        <v>148</v>
      </c>
      <c r="F283" s="23" t="s">
        <v>282</v>
      </c>
      <c r="G283" s="7" t="n">
        <v>30</v>
      </c>
      <c r="H283" s="22"/>
      <c r="I283" s="7" t="s">
        <v>316</v>
      </c>
      <c r="J283" s="7" t="s">
        <v>151</v>
      </c>
      <c r="K283" s="7" t="s">
        <v>152</v>
      </c>
      <c r="L283" s="7"/>
      <c r="M283" s="7" t="n">
        <v>0</v>
      </c>
      <c r="N283" s="7"/>
      <c r="O283" s="7"/>
      <c r="P283" s="7" t="s">
        <v>153</v>
      </c>
    </row>
    <row r="284" customFormat="false" ht="23.85" hidden="false" customHeight="false" outlineLevel="0" collapsed="false">
      <c r="A284" s="7" t="n">
        <v>24</v>
      </c>
      <c r="B284" s="21" t="n">
        <v>46471</v>
      </c>
      <c r="C284" s="7" t="s">
        <v>158</v>
      </c>
      <c r="D284" s="7" t="s">
        <v>103</v>
      </c>
      <c r="E284" s="14" t="s">
        <v>40</v>
      </c>
      <c r="F284" s="14" t="s">
        <v>159</v>
      </c>
      <c r="G284" s="7" t="n">
        <v>60</v>
      </c>
      <c r="H284" s="22" t="n">
        <v>30</v>
      </c>
      <c r="I284" s="7" t="s">
        <v>160</v>
      </c>
      <c r="J284" s="7" t="s">
        <v>161</v>
      </c>
      <c r="K284" s="7" t="s">
        <v>139</v>
      </c>
      <c r="L284" s="7" t="s">
        <v>146</v>
      </c>
      <c r="M284" s="7" t="n">
        <v>0</v>
      </c>
      <c r="N284" s="7"/>
      <c r="O284" s="7"/>
      <c r="P284" s="7" t="s">
        <v>147</v>
      </c>
    </row>
    <row r="285" customFormat="false" ht="23.85" hidden="false" customHeight="false" outlineLevel="0" collapsed="false">
      <c r="A285" s="7" t="n">
        <v>24</v>
      </c>
      <c r="B285" s="21" t="n">
        <v>46471</v>
      </c>
      <c r="C285" s="7" t="s">
        <v>158</v>
      </c>
      <c r="D285" s="7" t="s">
        <v>103</v>
      </c>
      <c r="E285" s="24" t="s">
        <v>184</v>
      </c>
      <c r="F285" s="24" t="s">
        <v>229</v>
      </c>
      <c r="G285" s="7" t="n">
        <v>30</v>
      </c>
      <c r="H285" s="22" t="n">
        <v>5</v>
      </c>
      <c r="I285" s="7" t="s">
        <v>235</v>
      </c>
      <c r="J285" s="7" t="s">
        <v>231</v>
      </c>
      <c r="K285" s="7" t="s">
        <v>139</v>
      </c>
      <c r="L285" s="7" t="s">
        <v>146</v>
      </c>
      <c r="M285" s="7" t="n">
        <v>0</v>
      </c>
      <c r="N285" s="7"/>
      <c r="O285" s="7"/>
      <c r="P285" s="7" t="s">
        <v>153</v>
      </c>
    </row>
    <row r="286" customFormat="false" ht="23.85" hidden="false" customHeight="false" outlineLevel="0" collapsed="false">
      <c r="A286" s="7" t="n">
        <v>24</v>
      </c>
      <c r="B286" s="21" t="n">
        <v>46472</v>
      </c>
      <c r="C286" s="7" t="s">
        <v>164</v>
      </c>
      <c r="D286" s="7" t="s">
        <v>103</v>
      </c>
      <c r="E286" s="18" t="s">
        <v>42</v>
      </c>
      <c r="F286" s="18" t="s">
        <v>165</v>
      </c>
      <c r="G286" s="7" t="n">
        <v>60</v>
      </c>
      <c r="H286" s="22" t="n">
        <v>3</v>
      </c>
      <c r="I286" s="7" t="s">
        <v>363</v>
      </c>
      <c r="J286" s="7" t="s">
        <v>138</v>
      </c>
      <c r="K286" s="7" t="s">
        <v>139</v>
      </c>
      <c r="L286" s="7"/>
      <c r="M286" s="7" t="n">
        <v>0</v>
      </c>
      <c r="N286" s="7"/>
      <c r="O286" s="7"/>
      <c r="P286" s="7" t="s">
        <v>140</v>
      </c>
    </row>
    <row r="287" customFormat="false" ht="23.85" hidden="false" customHeight="false" outlineLevel="0" collapsed="false">
      <c r="A287" s="7" t="n">
        <v>24</v>
      </c>
      <c r="B287" s="21" t="n">
        <v>46472</v>
      </c>
      <c r="C287" s="7" t="s">
        <v>164</v>
      </c>
      <c r="D287" s="7" t="s">
        <v>103</v>
      </c>
      <c r="E287" s="24" t="s">
        <v>184</v>
      </c>
      <c r="F287" s="24" t="s">
        <v>229</v>
      </c>
      <c r="G287" s="7" t="n">
        <v>30</v>
      </c>
      <c r="H287" s="22" t="n">
        <v>5</v>
      </c>
      <c r="I287" s="7" t="s">
        <v>235</v>
      </c>
      <c r="J287" s="7" t="s">
        <v>231</v>
      </c>
      <c r="K287" s="7" t="s">
        <v>139</v>
      </c>
      <c r="L287" s="7" t="s">
        <v>146</v>
      </c>
      <c r="M287" s="7" t="n">
        <v>0</v>
      </c>
      <c r="N287" s="7"/>
      <c r="O287" s="7"/>
      <c r="P287" s="7" t="s">
        <v>147</v>
      </c>
    </row>
    <row r="288" customFormat="false" ht="35.05" hidden="false" customHeight="false" outlineLevel="0" collapsed="false">
      <c r="A288" s="7" t="n">
        <v>24</v>
      </c>
      <c r="B288" s="21" t="n">
        <v>46472</v>
      </c>
      <c r="C288" s="7" t="s">
        <v>164</v>
      </c>
      <c r="D288" s="7" t="s">
        <v>103</v>
      </c>
      <c r="E288" s="23" t="s">
        <v>148</v>
      </c>
      <c r="F288" s="23" t="s">
        <v>287</v>
      </c>
      <c r="G288" s="7" t="n">
        <v>25</v>
      </c>
      <c r="H288" s="22"/>
      <c r="I288" s="7" t="s">
        <v>288</v>
      </c>
      <c r="J288" s="7" t="s">
        <v>151</v>
      </c>
      <c r="K288" s="7" t="s">
        <v>152</v>
      </c>
      <c r="L288" s="7"/>
      <c r="M288" s="7" t="n">
        <v>0</v>
      </c>
      <c r="N288" s="7"/>
      <c r="O288" s="7"/>
      <c r="P288" s="7" t="s">
        <v>153</v>
      </c>
    </row>
    <row r="289" customFormat="false" ht="35.05" hidden="false" customHeight="false" outlineLevel="0" collapsed="false">
      <c r="A289" s="7" t="n">
        <v>24</v>
      </c>
      <c r="B289" s="21" t="n">
        <v>46473</v>
      </c>
      <c r="C289" s="7" t="s">
        <v>167</v>
      </c>
      <c r="D289" s="7" t="s">
        <v>103</v>
      </c>
      <c r="E289" s="14" t="s">
        <v>40</v>
      </c>
      <c r="F289" s="14" t="s">
        <v>168</v>
      </c>
      <c r="G289" s="7" t="n">
        <v>180</v>
      </c>
      <c r="H289" s="22" t="n">
        <v>90</v>
      </c>
      <c r="I289" s="7" t="s">
        <v>340</v>
      </c>
      <c r="J289" s="7" t="s">
        <v>290</v>
      </c>
      <c r="K289" s="7" t="s">
        <v>139</v>
      </c>
      <c r="L289" s="7" t="s">
        <v>291</v>
      </c>
      <c r="M289" s="7" t="n">
        <v>0</v>
      </c>
      <c r="N289" s="7"/>
      <c r="O289" s="7"/>
      <c r="P289" s="7" t="s">
        <v>147</v>
      </c>
    </row>
    <row r="290" customFormat="false" ht="35.05" hidden="false" customHeight="false" outlineLevel="0" collapsed="false">
      <c r="A290" s="7" t="n">
        <v>24</v>
      </c>
      <c r="B290" s="21" t="n">
        <v>46474</v>
      </c>
      <c r="C290" s="7" t="s">
        <v>172</v>
      </c>
      <c r="D290" s="7" t="s">
        <v>103</v>
      </c>
      <c r="E290" s="18" t="s">
        <v>42</v>
      </c>
      <c r="F290" s="18" t="s">
        <v>312</v>
      </c>
      <c r="G290" s="7" t="n">
        <v>35</v>
      </c>
      <c r="H290" s="22" t="n">
        <v>1.6</v>
      </c>
      <c r="I290" s="7" t="s">
        <v>313</v>
      </c>
      <c r="J290" s="7" t="s">
        <v>314</v>
      </c>
      <c r="K290" s="7" t="s">
        <v>139</v>
      </c>
      <c r="L290" s="7"/>
      <c r="M290" s="7" t="n">
        <v>3</v>
      </c>
      <c r="N290" s="7"/>
      <c r="O290" s="7"/>
      <c r="P290" s="7" t="s">
        <v>262</v>
      </c>
    </row>
    <row r="291" customFormat="false" ht="35.05" hidden="false" customHeight="false" outlineLevel="0" collapsed="false">
      <c r="A291" s="7" t="n">
        <v>24</v>
      </c>
      <c r="B291" s="21" t="n">
        <v>46474</v>
      </c>
      <c r="C291" s="7" t="s">
        <v>172</v>
      </c>
      <c r="D291" s="7" t="s">
        <v>103</v>
      </c>
      <c r="E291" s="24" t="s">
        <v>184</v>
      </c>
      <c r="F291" s="24" t="s">
        <v>247</v>
      </c>
      <c r="G291" s="7" t="n">
        <v>90</v>
      </c>
      <c r="H291" s="22" t="n">
        <v>15</v>
      </c>
      <c r="I291" s="7" t="s">
        <v>364</v>
      </c>
      <c r="J291" s="7" t="s">
        <v>231</v>
      </c>
      <c r="K291" s="7" t="s">
        <v>139</v>
      </c>
      <c r="L291" s="7" t="s">
        <v>303</v>
      </c>
      <c r="M291" s="7" t="n">
        <v>0</v>
      </c>
      <c r="N291" s="7"/>
      <c r="O291" s="7"/>
      <c r="P291" s="7" t="s">
        <v>147</v>
      </c>
    </row>
    <row r="292" customFormat="false" ht="23.85" hidden="false" customHeight="false" outlineLevel="0" collapsed="false">
      <c r="A292" s="7" t="n">
        <v>25</v>
      </c>
      <c r="B292" s="21" t="n">
        <v>46475</v>
      </c>
      <c r="C292" s="7" t="s">
        <v>135</v>
      </c>
      <c r="D292" s="7" t="s">
        <v>103</v>
      </c>
      <c r="E292" s="14" t="s">
        <v>40</v>
      </c>
      <c r="F292" s="14" t="s">
        <v>173</v>
      </c>
      <c r="G292" s="7" t="n">
        <v>45</v>
      </c>
      <c r="H292" s="22" t="n">
        <v>20</v>
      </c>
      <c r="I292" s="7" t="s">
        <v>304</v>
      </c>
      <c r="J292" s="7" t="s">
        <v>175</v>
      </c>
      <c r="K292" s="7" t="s">
        <v>176</v>
      </c>
      <c r="L292" s="7" t="s">
        <v>146</v>
      </c>
      <c r="M292" s="7" t="n">
        <v>0</v>
      </c>
      <c r="N292" s="7"/>
      <c r="O292" s="7"/>
      <c r="P292" s="7" t="s">
        <v>147</v>
      </c>
    </row>
    <row r="293" customFormat="false" ht="35.05" hidden="false" customHeight="false" outlineLevel="0" collapsed="false">
      <c r="A293" s="7" t="n">
        <v>25</v>
      </c>
      <c r="B293" s="21" t="n">
        <v>46476</v>
      </c>
      <c r="C293" s="7" t="s">
        <v>141</v>
      </c>
      <c r="D293" s="7" t="s">
        <v>103</v>
      </c>
      <c r="E293" s="14" t="s">
        <v>40</v>
      </c>
      <c r="F293" s="14" t="s">
        <v>255</v>
      </c>
      <c r="G293" s="7" t="n">
        <v>75</v>
      </c>
      <c r="H293" s="22" t="n">
        <v>38</v>
      </c>
      <c r="I293" s="7" t="s">
        <v>365</v>
      </c>
      <c r="J293" s="7" t="s">
        <v>366</v>
      </c>
      <c r="K293" s="7" t="s">
        <v>152</v>
      </c>
      <c r="L293" s="7" t="s">
        <v>240</v>
      </c>
      <c r="M293" s="7" t="n">
        <v>30</v>
      </c>
      <c r="N293" s="7"/>
      <c r="O293" s="7"/>
      <c r="P293" s="7" t="s">
        <v>147</v>
      </c>
    </row>
    <row r="294" customFormat="false" ht="35.05" hidden="false" customHeight="false" outlineLevel="0" collapsed="false">
      <c r="A294" s="7" t="n">
        <v>25</v>
      </c>
      <c r="B294" s="21" t="n">
        <v>46476</v>
      </c>
      <c r="C294" s="7" t="s">
        <v>141</v>
      </c>
      <c r="D294" s="7" t="s">
        <v>103</v>
      </c>
      <c r="E294" s="23" t="s">
        <v>148</v>
      </c>
      <c r="F294" s="23" t="s">
        <v>282</v>
      </c>
      <c r="G294" s="7" t="n">
        <v>40</v>
      </c>
      <c r="H294" s="22"/>
      <c r="I294" s="7" t="s">
        <v>283</v>
      </c>
      <c r="J294" s="7" t="s">
        <v>151</v>
      </c>
      <c r="K294" s="7" t="s">
        <v>152</v>
      </c>
      <c r="L294" s="7"/>
      <c r="M294" s="7" t="n">
        <v>0</v>
      </c>
      <c r="N294" s="7"/>
      <c r="O294" s="7"/>
      <c r="P294" s="7" t="s">
        <v>153</v>
      </c>
    </row>
    <row r="295" customFormat="false" ht="23.85" hidden="false" customHeight="false" outlineLevel="0" collapsed="false">
      <c r="A295" s="7" t="n">
        <v>25</v>
      </c>
      <c r="B295" s="21" t="n">
        <v>46477</v>
      </c>
      <c r="C295" s="7" t="s">
        <v>154</v>
      </c>
      <c r="D295" s="7" t="s">
        <v>103</v>
      </c>
      <c r="E295" s="18" t="s">
        <v>42</v>
      </c>
      <c r="F295" s="18" t="s">
        <v>155</v>
      </c>
      <c r="G295" s="7" t="n">
        <v>70</v>
      </c>
      <c r="H295" s="22" t="n">
        <v>3.3</v>
      </c>
      <c r="I295" s="7" t="s">
        <v>367</v>
      </c>
      <c r="J295" s="7" t="s">
        <v>157</v>
      </c>
      <c r="K295" s="7" t="s">
        <v>152</v>
      </c>
      <c r="L295" s="7"/>
      <c r="M295" s="7" t="n">
        <v>35</v>
      </c>
      <c r="N295" s="7"/>
      <c r="O295" s="7"/>
      <c r="P295" s="7" t="s">
        <v>140</v>
      </c>
    </row>
    <row r="296" customFormat="false" ht="35.05" hidden="false" customHeight="false" outlineLevel="0" collapsed="false">
      <c r="A296" s="7" t="n">
        <v>25</v>
      </c>
      <c r="B296" s="21" t="n">
        <v>46477</v>
      </c>
      <c r="C296" s="7" t="s">
        <v>154</v>
      </c>
      <c r="D296" s="7" t="s">
        <v>103</v>
      </c>
      <c r="E296" s="24" t="s">
        <v>184</v>
      </c>
      <c r="F296" s="24" t="s">
        <v>296</v>
      </c>
      <c r="G296" s="7" t="n">
        <v>45</v>
      </c>
      <c r="H296" s="22" t="n">
        <v>7.5</v>
      </c>
      <c r="I296" s="7" t="s">
        <v>368</v>
      </c>
      <c r="J296" s="7" t="s">
        <v>298</v>
      </c>
      <c r="K296" s="7" t="s">
        <v>299</v>
      </c>
      <c r="L296" s="7" t="s">
        <v>146</v>
      </c>
      <c r="M296" s="7" t="n">
        <v>30</v>
      </c>
      <c r="N296" s="7"/>
      <c r="O296" s="7"/>
      <c r="P296" s="7" t="s">
        <v>147</v>
      </c>
    </row>
    <row r="297" customFormat="false" ht="23.85" hidden="false" customHeight="false" outlineLevel="0" collapsed="false">
      <c r="A297" s="7" t="n">
        <v>25</v>
      </c>
      <c r="B297" s="21" t="n">
        <v>46478</v>
      </c>
      <c r="C297" s="7" t="s">
        <v>158</v>
      </c>
      <c r="D297" s="7" t="s">
        <v>103</v>
      </c>
      <c r="E297" s="14" t="s">
        <v>40</v>
      </c>
      <c r="F297" s="14" t="s">
        <v>159</v>
      </c>
      <c r="G297" s="7" t="n">
        <v>80</v>
      </c>
      <c r="H297" s="22" t="n">
        <v>40</v>
      </c>
      <c r="I297" s="7" t="s">
        <v>328</v>
      </c>
      <c r="J297" s="7" t="s">
        <v>161</v>
      </c>
      <c r="K297" s="7" t="s">
        <v>139</v>
      </c>
      <c r="L297" s="7" t="s">
        <v>240</v>
      </c>
      <c r="M297" s="7" t="n">
        <v>0</v>
      </c>
      <c r="N297" s="7"/>
      <c r="O297" s="7"/>
      <c r="P297" s="7" t="s">
        <v>147</v>
      </c>
    </row>
    <row r="298" customFormat="false" ht="23.85" hidden="false" customHeight="false" outlineLevel="0" collapsed="false">
      <c r="A298" s="7" t="n">
        <v>25</v>
      </c>
      <c r="B298" s="21" t="n">
        <v>46478</v>
      </c>
      <c r="C298" s="7" t="s">
        <v>158</v>
      </c>
      <c r="D298" s="7" t="s">
        <v>103</v>
      </c>
      <c r="E298" s="24" t="s">
        <v>184</v>
      </c>
      <c r="F298" s="24" t="s">
        <v>259</v>
      </c>
      <c r="G298" s="7" t="n">
        <v>40</v>
      </c>
      <c r="H298" s="22" t="n">
        <v>6.7</v>
      </c>
      <c r="I298" s="7" t="s">
        <v>334</v>
      </c>
      <c r="J298" s="7" t="s">
        <v>231</v>
      </c>
      <c r="K298" s="7" t="s">
        <v>139</v>
      </c>
      <c r="L298" s="7" t="s">
        <v>146</v>
      </c>
      <c r="M298" s="7" t="n">
        <v>2</v>
      </c>
      <c r="N298" s="7"/>
      <c r="O298" s="7"/>
      <c r="P298" s="7" t="s">
        <v>153</v>
      </c>
    </row>
    <row r="299" customFormat="false" ht="23.85" hidden="false" customHeight="false" outlineLevel="0" collapsed="false">
      <c r="A299" s="7" t="n">
        <v>25</v>
      </c>
      <c r="B299" s="21" t="n">
        <v>46479</v>
      </c>
      <c r="C299" s="7" t="s">
        <v>164</v>
      </c>
      <c r="D299" s="7" t="s">
        <v>103</v>
      </c>
      <c r="E299" s="18" t="s">
        <v>42</v>
      </c>
      <c r="F299" s="18" t="s">
        <v>165</v>
      </c>
      <c r="G299" s="7" t="n">
        <v>75</v>
      </c>
      <c r="H299" s="22" t="n">
        <v>3.8</v>
      </c>
      <c r="I299" s="7" t="s">
        <v>329</v>
      </c>
      <c r="J299" s="7" t="s">
        <v>138</v>
      </c>
      <c r="K299" s="7" t="s">
        <v>139</v>
      </c>
      <c r="L299" s="7"/>
      <c r="M299" s="7" t="n">
        <v>0</v>
      </c>
      <c r="N299" s="7"/>
      <c r="O299" s="7"/>
      <c r="P299" s="7" t="s">
        <v>140</v>
      </c>
    </row>
    <row r="300" customFormat="false" ht="35.05" hidden="false" customHeight="false" outlineLevel="0" collapsed="false">
      <c r="A300" s="7" t="n">
        <v>25</v>
      </c>
      <c r="B300" s="21" t="n">
        <v>46479</v>
      </c>
      <c r="C300" s="7" t="s">
        <v>164</v>
      </c>
      <c r="D300" s="7" t="s">
        <v>103</v>
      </c>
      <c r="E300" s="23" t="s">
        <v>148</v>
      </c>
      <c r="F300" s="23" t="s">
        <v>287</v>
      </c>
      <c r="G300" s="7" t="n">
        <v>30</v>
      </c>
      <c r="H300" s="22"/>
      <c r="I300" s="7" t="s">
        <v>288</v>
      </c>
      <c r="J300" s="7" t="s">
        <v>151</v>
      </c>
      <c r="K300" s="7" t="s">
        <v>152</v>
      </c>
      <c r="L300" s="7"/>
      <c r="M300" s="7" t="n">
        <v>0</v>
      </c>
      <c r="N300" s="7"/>
      <c r="O300" s="7"/>
      <c r="P300" s="7" t="s">
        <v>153</v>
      </c>
    </row>
    <row r="301" customFormat="false" ht="35.05" hidden="false" customHeight="false" outlineLevel="0" collapsed="false">
      <c r="A301" s="7" t="n">
        <v>25</v>
      </c>
      <c r="B301" s="21" t="n">
        <v>46480</v>
      </c>
      <c r="C301" s="7" t="s">
        <v>167</v>
      </c>
      <c r="D301" s="7" t="s">
        <v>103</v>
      </c>
      <c r="E301" s="14" t="s">
        <v>40</v>
      </c>
      <c r="F301" s="14" t="s">
        <v>168</v>
      </c>
      <c r="G301" s="7" t="n">
        <v>330</v>
      </c>
      <c r="H301" s="22" t="n">
        <v>165</v>
      </c>
      <c r="I301" s="7" t="s">
        <v>369</v>
      </c>
      <c r="J301" s="7" t="s">
        <v>290</v>
      </c>
      <c r="K301" s="7" t="s">
        <v>139</v>
      </c>
      <c r="L301" s="7" t="s">
        <v>370</v>
      </c>
      <c r="M301" s="7" t="n">
        <v>0</v>
      </c>
      <c r="N301" s="7"/>
      <c r="O301" s="7"/>
      <c r="P301" s="7" t="s">
        <v>147</v>
      </c>
    </row>
    <row r="302" customFormat="false" ht="35.05" hidden="false" customHeight="false" outlineLevel="0" collapsed="false">
      <c r="A302" s="7" t="n">
        <v>25</v>
      </c>
      <c r="B302" s="21" t="n">
        <v>46480</v>
      </c>
      <c r="C302" s="7" t="s">
        <v>167</v>
      </c>
      <c r="D302" s="7" t="s">
        <v>103</v>
      </c>
      <c r="E302" s="24" t="s">
        <v>184</v>
      </c>
      <c r="F302" s="24" t="s">
        <v>243</v>
      </c>
      <c r="G302" s="7" t="n">
        <v>25</v>
      </c>
      <c r="H302" s="22" t="n">
        <v>4.2</v>
      </c>
      <c r="I302" s="7" t="s">
        <v>336</v>
      </c>
      <c r="J302" s="7" t="s">
        <v>231</v>
      </c>
      <c r="K302" s="7" t="s">
        <v>245</v>
      </c>
      <c r="L302" s="7" t="s">
        <v>146</v>
      </c>
      <c r="M302" s="7" t="n">
        <v>0</v>
      </c>
      <c r="N302" s="7"/>
      <c r="O302" s="7"/>
      <c r="P302" s="7" t="s">
        <v>246</v>
      </c>
    </row>
    <row r="303" customFormat="false" ht="35.05" hidden="false" customHeight="false" outlineLevel="0" collapsed="false">
      <c r="A303" s="7" t="n">
        <v>25</v>
      </c>
      <c r="B303" s="21" t="n">
        <v>46481</v>
      </c>
      <c r="C303" s="7" t="s">
        <v>172</v>
      </c>
      <c r="D303" s="7" t="s">
        <v>103</v>
      </c>
      <c r="E303" s="18" t="s">
        <v>42</v>
      </c>
      <c r="F303" s="18" t="s">
        <v>312</v>
      </c>
      <c r="G303" s="7" t="n">
        <v>40</v>
      </c>
      <c r="H303" s="22" t="n">
        <v>1.8</v>
      </c>
      <c r="I303" s="7" t="s">
        <v>313</v>
      </c>
      <c r="J303" s="7" t="s">
        <v>314</v>
      </c>
      <c r="K303" s="7" t="s">
        <v>139</v>
      </c>
      <c r="L303" s="7"/>
      <c r="M303" s="7" t="n">
        <v>4</v>
      </c>
      <c r="N303" s="7"/>
      <c r="O303" s="7"/>
      <c r="P303" s="7" t="s">
        <v>262</v>
      </c>
    </row>
    <row r="304" customFormat="false" ht="35.05" hidden="false" customHeight="false" outlineLevel="0" collapsed="false">
      <c r="A304" s="7" t="n">
        <v>25</v>
      </c>
      <c r="B304" s="21" t="n">
        <v>46481</v>
      </c>
      <c r="C304" s="7" t="s">
        <v>172</v>
      </c>
      <c r="D304" s="7" t="s">
        <v>103</v>
      </c>
      <c r="E304" s="24" t="s">
        <v>184</v>
      </c>
      <c r="F304" s="24" t="s">
        <v>247</v>
      </c>
      <c r="G304" s="7" t="n">
        <v>130</v>
      </c>
      <c r="H304" s="22" t="n">
        <v>21.7</v>
      </c>
      <c r="I304" s="7" t="s">
        <v>371</v>
      </c>
      <c r="J304" s="7" t="s">
        <v>231</v>
      </c>
      <c r="K304" s="7" t="s">
        <v>139</v>
      </c>
      <c r="L304" s="7" t="s">
        <v>303</v>
      </c>
      <c r="M304" s="7" t="n">
        <v>0</v>
      </c>
      <c r="N304" s="7"/>
      <c r="O304" s="7"/>
      <c r="P304" s="7" t="s">
        <v>147</v>
      </c>
    </row>
    <row r="305" customFormat="false" ht="23.85" hidden="false" customHeight="false" outlineLevel="0" collapsed="false">
      <c r="A305" s="7" t="n">
        <v>26</v>
      </c>
      <c r="B305" s="21" t="n">
        <v>46482</v>
      </c>
      <c r="C305" s="7" t="s">
        <v>135</v>
      </c>
      <c r="D305" s="7" t="s">
        <v>103</v>
      </c>
      <c r="E305" s="14" t="s">
        <v>40</v>
      </c>
      <c r="F305" s="14" t="s">
        <v>173</v>
      </c>
      <c r="G305" s="7" t="n">
        <v>45</v>
      </c>
      <c r="H305" s="22" t="n">
        <v>20</v>
      </c>
      <c r="I305" s="7" t="s">
        <v>304</v>
      </c>
      <c r="J305" s="7" t="s">
        <v>175</v>
      </c>
      <c r="K305" s="7" t="s">
        <v>176</v>
      </c>
      <c r="L305" s="7" t="s">
        <v>146</v>
      </c>
      <c r="M305" s="7" t="n">
        <v>0</v>
      </c>
      <c r="N305" s="7"/>
      <c r="O305" s="7"/>
      <c r="P305" s="7" t="s">
        <v>147</v>
      </c>
    </row>
    <row r="306" customFormat="false" ht="35.05" hidden="false" customHeight="false" outlineLevel="0" collapsed="false">
      <c r="A306" s="7" t="n">
        <v>26</v>
      </c>
      <c r="B306" s="21" t="n">
        <v>46483</v>
      </c>
      <c r="C306" s="7" t="s">
        <v>141</v>
      </c>
      <c r="D306" s="7" t="s">
        <v>103</v>
      </c>
      <c r="E306" s="14" t="s">
        <v>40</v>
      </c>
      <c r="F306" s="14" t="s">
        <v>255</v>
      </c>
      <c r="G306" s="7" t="n">
        <v>75</v>
      </c>
      <c r="H306" s="22" t="n">
        <v>38</v>
      </c>
      <c r="I306" s="7" t="s">
        <v>372</v>
      </c>
      <c r="J306" s="7" t="s">
        <v>266</v>
      </c>
      <c r="K306" s="7" t="s">
        <v>152</v>
      </c>
      <c r="L306" s="7" t="s">
        <v>240</v>
      </c>
      <c r="M306" s="7" t="n">
        <v>36</v>
      </c>
      <c r="N306" s="7"/>
      <c r="O306" s="7"/>
      <c r="P306" s="7" t="s">
        <v>147</v>
      </c>
    </row>
    <row r="307" customFormat="false" ht="35.05" hidden="false" customHeight="false" outlineLevel="0" collapsed="false">
      <c r="A307" s="7" t="n">
        <v>26</v>
      </c>
      <c r="B307" s="21" t="n">
        <v>46483</v>
      </c>
      <c r="C307" s="7" t="s">
        <v>141</v>
      </c>
      <c r="D307" s="7" t="s">
        <v>103</v>
      </c>
      <c r="E307" s="23" t="s">
        <v>148</v>
      </c>
      <c r="F307" s="23" t="s">
        <v>282</v>
      </c>
      <c r="G307" s="7" t="n">
        <v>40</v>
      </c>
      <c r="H307" s="22"/>
      <c r="I307" s="7" t="s">
        <v>283</v>
      </c>
      <c r="J307" s="7" t="s">
        <v>151</v>
      </c>
      <c r="K307" s="7" t="s">
        <v>152</v>
      </c>
      <c r="L307" s="7"/>
      <c r="M307" s="7" t="n">
        <v>0</v>
      </c>
      <c r="N307" s="7"/>
      <c r="O307" s="7"/>
      <c r="P307" s="7" t="s">
        <v>153</v>
      </c>
    </row>
    <row r="308" customFormat="false" ht="23.85" hidden="false" customHeight="false" outlineLevel="0" collapsed="false">
      <c r="A308" s="7" t="n">
        <v>26</v>
      </c>
      <c r="B308" s="21" t="n">
        <v>46484</v>
      </c>
      <c r="C308" s="7" t="s">
        <v>154</v>
      </c>
      <c r="D308" s="7" t="s">
        <v>103</v>
      </c>
      <c r="E308" s="18" t="s">
        <v>42</v>
      </c>
      <c r="F308" s="18" t="s">
        <v>155</v>
      </c>
      <c r="G308" s="7" t="n">
        <v>70</v>
      </c>
      <c r="H308" s="22" t="n">
        <v>3.3</v>
      </c>
      <c r="I308" s="7" t="s">
        <v>367</v>
      </c>
      <c r="J308" s="7" t="s">
        <v>157</v>
      </c>
      <c r="K308" s="7" t="s">
        <v>152</v>
      </c>
      <c r="L308" s="7"/>
      <c r="M308" s="7" t="n">
        <v>35</v>
      </c>
      <c r="N308" s="7"/>
      <c r="O308" s="7"/>
      <c r="P308" s="7" t="s">
        <v>140</v>
      </c>
    </row>
    <row r="309" customFormat="false" ht="35.05" hidden="false" customHeight="false" outlineLevel="0" collapsed="false">
      <c r="A309" s="7" t="n">
        <v>26</v>
      </c>
      <c r="B309" s="21" t="n">
        <v>46484</v>
      </c>
      <c r="C309" s="7" t="s">
        <v>154</v>
      </c>
      <c r="D309" s="7" t="s">
        <v>103</v>
      </c>
      <c r="E309" s="24" t="s">
        <v>184</v>
      </c>
      <c r="F309" s="24" t="s">
        <v>296</v>
      </c>
      <c r="G309" s="7" t="n">
        <v>45</v>
      </c>
      <c r="H309" s="22" t="n">
        <v>7.5</v>
      </c>
      <c r="I309" s="7" t="s">
        <v>373</v>
      </c>
      <c r="J309" s="7" t="s">
        <v>298</v>
      </c>
      <c r="K309" s="7" t="s">
        <v>299</v>
      </c>
      <c r="L309" s="7" t="s">
        <v>146</v>
      </c>
      <c r="M309" s="7" t="n">
        <v>24</v>
      </c>
      <c r="N309" s="7"/>
      <c r="O309" s="7"/>
      <c r="P309" s="7" t="s">
        <v>147</v>
      </c>
    </row>
    <row r="310" customFormat="false" ht="23.85" hidden="false" customHeight="false" outlineLevel="0" collapsed="false">
      <c r="A310" s="7" t="n">
        <v>26</v>
      </c>
      <c r="B310" s="21" t="n">
        <v>46485</v>
      </c>
      <c r="C310" s="7" t="s">
        <v>158</v>
      </c>
      <c r="D310" s="7" t="s">
        <v>103</v>
      </c>
      <c r="E310" s="14" t="s">
        <v>40</v>
      </c>
      <c r="F310" s="14" t="s">
        <v>159</v>
      </c>
      <c r="G310" s="7" t="n">
        <v>80</v>
      </c>
      <c r="H310" s="22" t="n">
        <v>40</v>
      </c>
      <c r="I310" s="7" t="s">
        <v>328</v>
      </c>
      <c r="J310" s="7" t="s">
        <v>161</v>
      </c>
      <c r="K310" s="7" t="s">
        <v>139</v>
      </c>
      <c r="L310" s="7" t="s">
        <v>240</v>
      </c>
      <c r="M310" s="7" t="n">
        <v>0</v>
      </c>
      <c r="N310" s="7"/>
      <c r="O310" s="7"/>
      <c r="P310" s="7" t="s">
        <v>147</v>
      </c>
    </row>
    <row r="311" customFormat="false" ht="23.85" hidden="false" customHeight="false" outlineLevel="0" collapsed="false">
      <c r="A311" s="7" t="n">
        <v>26</v>
      </c>
      <c r="B311" s="21" t="n">
        <v>46485</v>
      </c>
      <c r="C311" s="7" t="s">
        <v>158</v>
      </c>
      <c r="D311" s="7" t="s">
        <v>103</v>
      </c>
      <c r="E311" s="24" t="s">
        <v>184</v>
      </c>
      <c r="F311" s="24" t="s">
        <v>259</v>
      </c>
      <c r="G311" s="7" t="n">
        <v>40</v>
      </c>
      <c r="H311" s="22" t="n">
        <v>6.7</v>
      </c>
      <c r="I311" s="7" t="s">
        <v>334</v>
      </c>
      <c r="J311" s="7" t="s">
        <v>231</v>
      </c>
      <c r="K311" s="7" t="s">
        <v>139</v>
      </c>
      <c r="L311" s="7" t="s">
        <v>146</v>
      </c>
      <c r="M311" s="7" t="n">
        <v>2</v>
      </c>
      <c r="N311" s="7"/>
      <c r="O311" s="7"/>
      <c r="P311" s="7" t="s">
        <v>153</v>
      </c>
    </row>
    <row r="312" customFormat="false" ht="23.85" hidden="false" customHeight="false" outlineLevel="0" collapsed="false">
      <c r="A312" s="7" t="n">
        <v>26</v>
      </c>
      <c r="B312" s="21" t="n">
        <v>46486</v>
      </c>
      <c r="C312" s="7" t="s">
        <v>164</v>
      </c>
      <c r="D312" s="7" t="s">
        <v>103</v>
      </c>
      <c r="E312" s="18" t="s">
        <v>42</v>
      </c>
      <c r="F312" s="18" t="s">
        <v>165</v>
      </c>
      <c r="G312" s="7" t="n">
        <v>80</v>
      </c>
      <c r="H312" s="22" t="n">
        <v>4</v>
      </c>
      <c r="I312" s="7" t="s">
        <v>374</v>
      </c>
      <c r="J312" s="7" t="s">
        <v>138</v>
      </c>
      <c r="K312" s="7" t="s">
        <v>139</v>
      </c>
      <c r="L312" s="7"/>
      <c r="M312" s="7" t="n">
        <v>0</v>
      </c>
      <c r="N312" s="7"/>
      <c r="O312" s="7"/>
      <c r="P312" s="7" t="s">
        <v>140</v>
      </c>
    </row>
    <row r="313" customFormat="false" ht="35.05" hidden="false" customHeight="false" outlineLevel="0" collapsed="false">
      <c r="A313" s="7" t="n">
        <v>26</v>
      </c>
      <c r="B313" s="21" t="n">
        <v>46486</v>
      </c>
      <c r="C313" s="7" t="s">
        <v>164</v>
      </c>
      <c r="D313" s="7" t="s">
        <v>103</v>
      </c>
      <c r="E313" s="23" t="s">
        <v>148</v>
      </c>
      <c r="F313" s="23" t="s">
        <v>287</v>
      </c>
      <c r="G313" s="7" t="n">
        <v>30</v>
      </c>
      <c r="H313" s="22"/>
      <c r="I313" s="7" t="s">
        <v>288</v>
      </c>
      <c r="J313" s="7" t="s">
        <v>151</v>
      </c>
      <c r="K313" s="7" t="s">
        <v>152</v>
      </c>
      <c r="L313" s="7"/>
      <c r="M313" s="7" t="n">
        <v>0</v>
      </c>
      <c r="N313" s="7"/>
      <c r="O313" s="7"/>
      <c r="P313" s="7" t="s">
        <v>153</v>
      </c>
    </row>
    <row r="314" customFormat="false" ht="35.05" hidden="false" customHeight="false" outlineLevel="0" collapsed="false">
      <c r="A314" s="7" t="n">
        <v>26</v>
      </c>
      <c r="B314" s="21" t="n">
        <v>46487</v>
      </c>
      <c r="C314" s="7" t="s">
        <v>167</v>
      </c>
      <c r="D314" s="7" t="s">
        <v>103</v>
      </c>
      <c r="E314" s="14" t="s">
        <v>40</v>
      </c>
      <c r="F314" s="14" t="s">
        <v>168</v>
      </c>
      <c r="G314" s="7" t="n">
        <v>360</v>
      </c>
      <c r="H314" s="22" t="n">
        <v>180</v>
      </c>
      <c r="I314" s="7" t="s">
        <v>375</v>
      </c>
      <c r="J314" s="7" t="s">
        <v>290</v>
      </c>
      <c r="K314" s="7" t="s">
        <v>139</v>
      </c>
      <c r="L314" s="7" t="s">
        <v>370</v>
      </c>
      <c r="M314" s="7" t="n">
        <v>0</v>
      </c>
      <c r="N314" s="7"/>
      <c r="O314" s="7"/>
      <c r="P314" s="7" t="s">
        <v>147</v>
      </c>
    </row>
    <row r="315" customFormat="false" ht="35.05" hidden="false" customHeight="false" outlineLevel="0" collapsed="false">
      <c r="A315" s="7" t="n">
        <v>26</v>
      </c>
      <c r="B315" s="21" t="n">
        <v>46487</v>
      </c>
      <c r="C315" s="7" t="s">
        <v>167</v>
      </c>
      <c r="D315" s="7" t="s">
        <v>103</v>
      </c>
      <c r="E315" s="24" t="s">
        <v>184</v>
      </c>
      <c r="F315" s="24" t="s">
        <v>243</v>
      </c>
      <c r="G315" s="7" t="n">
        <v>15</v>
      </c>
      <c r="H315" s="22" t="n">
        <v>2.5</v>
      </c>
      <c r="I315" s="7" t="s">
        <v>292</v>
      </c>
      <c r="J315" s="7" t="s">
        <v>231</v>
      </c>
      <c r="K315" s="7" t="s">
        <v>245</v>
      </c>
      <c r="L315" s="7" t="s">
        <v>146</v>
      </c>
      <c r="M315" s="7" t="n">
        <v>0</v>
      </c>
      <c r="N315" s="7"/>
      <c r="O315" s="7"/>
      <c r="P315" s="7" t="s">
        <v>246</v>
      </c>
    </row>
    <row r="316" customFormat="false" ht="35.05" hidden="false" customHeight="false" outlineLevel="0" collapsed="false">
      <c r="A316" s="7" t="n">
        <v>26</v>
      </c>
      <c r="B316" s="21" t="n">
        <v>46488</v>
      </c>
      <c r="C316" s="7" t="s">
        <v>172</v>
      </c>
      <c r="D316" s="7" t="s">
        <v>103</v>
      </c>
      <c r="E316" s="18" t="s">
        <v>42</v>
      </c>
      <c r="F316" s="18" t="s">
        <v>312</v>
      </c>
      <c r="G316" s="7" t="n">
        <v>40</v>
      </c>
      <c r="H316" s="22" t="n">
        <v>1.8</v>
      </c>
      <c r="I316" s="7" t="s">
        <v>313</v>
      </c>
      <c r="J316" s="7" t="s">
        <v>314</v>
      </c>
      <c r="K316" s="7" t="s">
        <v>139</v>
      </c>
      <c r="L316" s="7"/>
      <c r="M316" s="7" t="n">
        <v>4</v>
      </c>
      <c r="N316" s="7"/>
      <c r="O316" s="7"/>
      <c r="P316" s="7" t="s">
        <v>262</v>
      </c>
    </row>
    <row r="317" customFormat="false" ht="35.05" hidden="false" customHeight="false" outlineLevel="0" collapsed="false">
      <c r="A317" s="7" t="n">
        <v>26</v>
      </c>
      <c r="B317" s="21" t="n">
        <v>46488</v>
      </c>
      <c r="C317" s="7" t="s">
        <v>172</v>
      </c>
      <c r="D317" s="7" t="s">
        <v>103</v>
      </c>
      <c r="E317" s="24" t="s">
        <v>184</v>
      </c>
      <c r="F317" s="24" t="s">
        <v>247</v>
      </c>
      <c r="G317" s="7" t="n">
        <v>163</v>
      </c>
      <c r="H317" s="22" t="n">
        <v>27.2</v>
      </c>
      <c r="I317" s="7" t="s">
        <v>376</v>
      </c>
      <c r="J317" s="7" t="s">
        <v>231</v>
      </c>
      <c r="K317" s="7" t="s">
        <v>139</v>
      </c>
      <c r="L317" s="7" t="s">
        <v>303</v>
      </c>
      <c r="M317" s="7" t="n">
        <v>0</v>
      </c>
      <c r="N317" s="7"/>
      <c r="O317" s="7"/>
      <c r="P317" s="7" t="s">
        <v>147</v>
      </c>
    </row>
    <row r="318" customFormat="false" ht="23.85" hidden="false" customHeight="false" outlineLevel="0" collapsed="false">
      <c r="A318" s="7" t="n">
        <v>27</v>
      </c>
      <c r="B318" s="21" t="n">
        <v>46489</v>
      </c>
      <c r="C318" s="7" t="s">
        <v>135</v>
      </c>
      <c r="D318" s="7" t="s">
        <v>103</v>
      </c>
      <c r="E318" s="18" t="s">
        <v>42</v>
      </c>
      <c r="F318" s="18" t="s">
        <v>136</v>
      </c>
      <c r="G318" s="7" t="n">
        <v>60</v>
      </c>
      <c r="H318" s="22" t="n">
        <v>3</v>
      </c>
      <c r="I318" s="7" t="s">
        <v>279</v>
      </c>
      <c r="J318" s="7" t="s">
        <v>138</v>
      </c>
      <c r="K318" s="7" t="s">
        <v>139</v>
      </c>
      <c r="L318" s="7"/>
      <c r="M318" s="7" t="n">
        <v>0</v>
      </c>
      <c r="N318" s="7"/>
      <c r="O318" s="7"/>
      <c r="P318" s="7" t="s">
        <v>140</v>
      </c>
    </row>
    <row r="319" customFormat="false" ht="23.85" hidden="false" customHeight="false" outlineLevel="0" collapsed="false">
      <c r="A319" s="7" t="n">
        <v>27</v>
      </c>
      <c r="B319" s="21" t="n">
        <v>46489</v>
      </c>
      <c r="C319" s="7" t="s">
        <v>135</v>
      </c>
      <c r="D319" s="7" t="s">
        <v>103</v>
      </c>
      <c r="E319" s="24" t="s">
        <v>184</v>
      </c>
      <c r="F319" s="24" t="s">
        <v>259</v>
      </c>
      <c r="G319" s="7" t="n">
        <v>40</v>
      </c>
      <c r="H319" s="22" t="n">
        <v>6.7</v>
      </c>
      <c r="I319" s="7" t="s">
        <v>334</v>
      </c>
      <c r="J319" s="7" t="s">
        <v>231</v>
      </c>
      <c r="K319" s="7" t="s">
        <v>139</v>
      </c>
      <c r="L319" s="7" t="s">
        <v>146</v>
      </c>
      <c r="M319" s="7" t="n">
        <v>2</v>
      </c>
      <c r="N319" s="7"/>
      <c r="O319" s="7"/>
      <c r="P319" s="7" t="s">
        <v>147</v>
      </c>
    </row>
    <row r="320" customFormat="false" ht="35.05" hidden="false" customHeight="false" outlineLevel="0" collapsed="false">
      <c r="A320" s="7" t="n">
        <v>27</v>
      </c>
      <c r="B320" s="21" t="n">
        <v>46490</v>
      </c>
      <c r="C320" s="7" t="s">
        <v>141</v>
      </c>
      <c r="D320" s="7" t="s">
        <v>103</v>
      </c>
      <c r="E320" s="14" t="s">
        <v>40</v>
      </c>
      <c r="F320" s="14" t="s">
        <v>255</v>
      </c>
      <c r="G320" s="7" t="n">
        <v>75</v>
      </c>
      <c r="H320" s="22" t="n">
        <v>38</v>
      </c>
      <c r="I320" s="7" t="s">
        <v>377</v>
      </c>
      <c r="J320" s="7" t="s">
        <v>378</v>
      </c>
      <c r="K320" s="7" t="s">
        <v>152</v>
      </c>
      <c r="L320" s="7" t="s">
        <v>240</v>
      </c>
      <c r="M320" s="7" t="n">
        <v>24</v>
      </c>
      <c r="N320" s="7"/>
      <c r="O320" s="7"/>
      <c r="P320" s="7" t="s">
        <v>147</v>
      </c>
    </row>
    <row r="321" customFormat="false" ht="23.85" hidden="false" customHeight="false" outlineLevel="0" collapsed="false">
      <c r="A321" s="7" t="n">
        <v>27</v>
      </c>
      <c r="B321" s="21" t="n">
        <v>46490</v>
      </c>
      <c r="C321" s="7" t="s">
        <v>141</v>
      </c>
      <c r="D321" s="7" t="s">
        <v>103</v>
      </c>
      <c r="E321" s="23" t="s">
        <v>148</v>
      </c>
      <c r="F321" s="23" t="s">
        <v>343</v>
      </c>
      <c r="G321" s="7" t="n">
        <v>30</v>
      </c>
      <c r="H321" s="22"/>
      <c r="I321" s="7" t="s">
        <v>379</v>
      </c>
      <c r="J321" s="7" t="s">
        <v>151</v>
      </c>
      <c r="K321" s="7" t="s">
        <v>152</v>
      </c>
      <c r="L321" s="7"/>
      <c r="M321" s="7" t="n">
        <v>0</v>
      </c>
      <c r="N321" s="7"/>
      <c r="O321" s="7"/>
      <c r="P321" s="7" t="s">
        <v>153</v>
      </c>
    </row>
    <row r="322" customFormat="false" ht="23.85" hidden="false" customHeight="false" outlineLevel="0" collapsed="false">
      <c r="A322" s="7" t="n">
        <v>27</v>
      </c>
      <c r="B322" s="21" t="n">
        <v>46491</v>
      </c>
      <c r="C322" s="7" t="s">
        <v>154</v>
      </c>
      <c r="D322" s="7" t="s">
        <v>103</v>
      </c>
      <c r="E322" s="18" t="s">
        <v>42</v>
      </c>
      <c r="F322" s="18" t="s">
        <v>155</v>
      </c>
      <c r="G322" s="7" t="n">
        <v>60</v>
      </c>
      <c r="H322" s="22" t="n">
        <v>2.8</v>
      </c>
      <c r="I322" s="7" t="s">
        <v>380</v>
      </c>
      <c r="J322" s="7" t="s">
        <v>157</v>
      </c>
      <c r="K322" s="7" t="s">
        <v>152</v>
      </c>
      <c r="L322" s="7"/>
      <c r="M322" s="7" t="n">
        <v>29</v>
      </c>
      <c r="N322" s="7"/>
      <c r="O322" s="7"/>
      <c r="P322" s="7" t="s">
        <v>140</v>
      </c>
    </row>
    <row r="323" customFormat="false" ht="23.85" hidden="false" customHeight="false" outlineLevel="0" collapsed="false">
      <c r="A323" s="7" t="n">
        <v>27</v>
      </c>
      <c r="B323" s="21" t="n">
        <v>46491</v>
      </c>
      <c r="C323" s="7" t="s">
        <v>154</v>
      </c>
      <c r="D323" s="7" t="s">
        <v>103</v>
      </c>
      <c r="E323" s="24" t="s">
        <v>184</v>
      </c>
      <c r="F323" s="24" t="s">
        <v>229</v>
      </c>
      <c r="G323" s="7" t="n">
        <v>40</v>
      </c>
      <c r="H323" s="22" t="n">
        <v>6.7</v>
      </c>
      <c r="I323" s="7" t="s">
        <v>381</v>
      </c>
      <c r="J323" s="7" t="s">
        <v>231</v>
      </c>
      <c r="K323" s="7" t="s">
        <v>139</v>
      </c>
      <c r="L323" s="7" t="s">
        <v>146</v>
      </c>
      <c r="M323" s="7" t="n">
        <v>0</v>
      </c>
      <c r="N323" s="7"/>
      <c r="O323" s="7"/>
      <c r="P323" s="7" t="s">
        <v>147</v>
      </c>
    </row>
    <row r="324" customFormat="false" ht="23.85" hidden="false" customHeight="false" outlineLevel="0" collapsed="false">
      <c r="A324" s="7" t="n">
        <v>27</v>
      </c>
      <c r="B324" s="21" t="n">
        <v>46492</v>
      </c>
      <c r="C324" s="7" t="s">
        <v>158</v>
      </c>
      <c r="D324" s="7" t="s">
        <v>103</v>
      </c>
      <c r="E324" s="14" t="s">
        <v>40</v>
      </c>
      <c r="F324" s="14" t="s">
        <v>159</v>
      </c>
      <c r="G324" s="7" t="n">
        <v>75</v>
      </c>
      <c r="H324" s="22" t="n">
        <v>38</v>
      </c>
      <c r="I324" s="7" t="s">
        <v>382</v>
      </c>
      <c r="J324" s="7" t="s">
        <v>161</v>
      </c>
      <c r="K324" s="7" t="s">
        <v>139</v>
      </c>
      <c r="L324" s="7" t="s">
        <v>240</v>
      </c>
      <c r="M324" s="7" t="n">
        <v>0</v>
      </c>
      <c r="N324" s="7"/>
      <c r="O324" s="7"/>
      <c r="P324" s="7" t="s">
        <v>147</v>
      </c>
    </row>
    <row r="325" customFormat="false" ht="23.85" hidden="false" customHeight="false" outlineLevel="0" collapsed="false">
      <c r="A325" s="7" t="n">
        <v>27</v>
      </c>
      <c r="B325" s="21" t="n">
        <v>46492</v>
      </c>
      <c r="C325" s="7" t="s">
        <v>158</v>
      </c>
      <c r="D325" s="7" t="s">
        <v>103</v>
      </c>
      <c r="E325" s="24" t="s">
        <v>184</v>
      </c>
      <c r="F325" s="24" t="s">
        <v>229</v>
      </c>
      <c r="G325" s="7" t="n">
        <v>35</v>
      </c>
      <c r="H325" s="22" t="n">
        <v>5.8</v>
      </c>
      <c r="I325" s="7" t="s">
        <v>264</v>
      </c>
      <c r="J325" s="7" t="s">
        <v>231</v>
      </c>
      <c r="K325" s="7" t="s">
        <v>139</v>
      </c>
      <c r="L325" s="7" t="s">
        <v>146</v>
      </c>
      <c r="M325" s="7" t="n">
        <v>0</v>
      </c>
      <c r="N325" s="7"/>
      <c r="O325" s="7"/>
      <c r="P325" s="7" t="s">
        <v>153</v>
      </c>
    </row>
    <row r="326" customFormat="false" ht="23.85" hidden="false" customHeight="false" outlineLevel="0" collapsed="false">
      <c r="A326" s="7" t="n">
        <v>27</v>
      </c>
      <c r="B326" s="21" t="n">
        <v>46493</v>
      </c>
      <c r="C326" s="7" t="s">
        <v>164</v>
      </c>
      <c r="D326" s="7" t="s">
        <v>103</v>
      </c>
      <c r="E326" s="18" t="s">
        <v>42</v>
      </c>
      <c r="F326" s="18" t="s">
        <v>165</v>
      </c>
      <c r="G326" s="7" t="n">
        <v>60</v>
      </c>
      <c r="H326" s="22" t="n">
        <v>3</v>
      </c>
      <c r="I326" s="7" t="s">
        <v>363</v>
      </c>
      <c r="J326" s="7" t="s">
        <v>138</v>
      </c>
      <c r="K326" s="7" t="s">
        <v>139</v>
      </c>
      <c r="L326" s="7"/>
      <c r="M326" s="7" t="n">
        <v>0</v>
      </c>
      <c r="N326" s="7"/>
      <c r="O326" s="7"/>
      <c r="P326" s="7" t="s">
        <v>140</v>
      </c>
    </row>
    <row r="327" customFormat="false" ht="15" hidden="false" customHeight="false" outlineLevel="0" collapsed="false">
      <c r="A327" s="7" t="n">
        <v>27</v>
      </c>
      <c r="B327" s="21" t="n">
        <v>46493</v>
      </c>
      <c r="C327" s="7" t="s">
        <v>164</v>
      </c>
      <c r="D327" s="7" t="s">
        <v>103</v>
      </c>
      <c r="E327" s="23" t="s">
        <v>148</v>
      </c>
      <c r="F327" s="23" t="s">
        <v>383</v>
      </c>
      <c r="G327" s="7" t="n">
        <v>25</v>
      </c>
      <c r="H327" s="22"/>
      <c r="I327" s="7" t="s">
        <v>384</v>
      </c>
      <c r="J327" s="7" t="s">
        <v>151</v>
      </c>
      <c r="K327" s="7" t="s">
        <v>152</v>
      </c>
      <c r="L327" s="7"/>
      <c r="M327" s="7" t="n">
        <v>0</v>
      </c>
      <c r="N327" s="7"/>
      <c r="O327" s="7"/>
      <c r="P327" s="7" t="s">
        <v>153</v>
      </c>
    </row>
    <row r="328" customFormat="false" ht="35.05" hidden="false" customHeight="false" outlineLevel="0" collapsed="false">
      <c r="A328" s="7" t="n">
        <v>27</v>
      </c>
      <c r="B328" s="21" t="n">
        <v>46494</v>
      </c>
      <c r="C328" s="7" t="s">
        <v>167</v>
      </c>
      <c r="D328" s="7" t="s">
        <v>103</v>
      </c>
      <c r="E328" s="14" t="s">
        <v>40</v>
      </c>
      <c r="F328" s="14" t="s">
        <v>168</v>
      </c>
      <c r="G328" s="7" t="n">
        <v>240</v>
      </c>
      <c r="H328" s="22" t="n">
        <v>120</v>
      </c>
      <c r="I328" s="7" t="s">
        <v>301</v>
      </c>
      <c r="J328" s="7" t="s">
        <v>290</v>
      </c>
      <c r="K328" s="7" t="s">
        <v>139</v>
      </c>
      <c r="L328" s="7" t="s">
        <v>291</v>
      </c>
      <c r="M328" s="7" t="n">
        <v>0</v>
      </c>
      <c r="N328" s="7"/>
      <c r="O328" s="7"/>
      <c r="P328" s="7" t="s">
        <v>147</v>
      </c>
    </row>
    <row r="329" customFormat="false" ht="23.85" hidden="false" customHeight="false" outlineLevel="0" collapsed="false">
      <c r="A329" s="7" t="n">
        <v>27</v>
      </c>
      <c r="B329" s="21" t="n">
        <v>46495</v>
      </c>
      <c r="C329" s="7" t="s">
        <v>172</v>
      </c>
      <c r="D329" s="7" t="s">
        <v>103</v>
      </c>
      <c r="E329" s="14" t="s">
        <v>40</v>
      </c>
      <c r="F329" s="14" t="s">
        <v>173</v>
      </c>
      <c r="G329" s="7" t="n">
        <v>30</v>
      </c>
      <c r="H329" s="22" t="n">
        <v>14</v>
      </c>
      <c r="I329" s="7" t="s">
        <v>268</v>
      </c>
      <c r="J329" s="7" t="s">
        <v>175</v>
      </c>
      <c r="K329" s="7" t="s">
        <v>176</v>
      </c>
      <c r="L329" s="7" t="s">
        <v>146</v>
      </c>
      <c r="M329" s="7" t="n">
        <v>0</v>
      </c>
      <c r="N329" s="7"/>
      <c r="O329" s="7"/>
      <c r="P329" s="7" t="s">
        <v>147</v>
      </c>
    </row>
    <row r="330" customFormat="false" ht="35.05" hidden="false" customHeight="false" outlineLevel="0" collapsed="false">
      <c r="A330" s="7" t="n">
        <v>27</v>
      </c>
      <c r="B330" s="21" t="n">
        <v>46495</v>
      </c>
      <c r="C330" s="7" t="s">
        <v>172</v>
      </c>
      <c r="D330" s="7" t="s">
        <v>103</v>
      </c>
      <c r="E330" s="24" t="s">
        <v>184</v>
      </c>
      <c r="F330" s="24" t="s">
        <v>247</v>
      </c>
      <c r="G330" s="7" t="n">
        <v>96</v>
      </c>
      <c r="H330" s="22" t="n">
        <v>16</v>
      </c>
      <c r="I330" s="7" t="s">
        <v>385</v>
      </c>
      <c r="J330" s="7" t="s">
        <v>231</v>
      </c>
      <c r="K330" s="7" t="s">
        <v>139</v>
      </c>
      <c r="L330" s="7" t="s">
        <v>303</v>
      </c>
      <c r="M330" s="7" t="n">
        <v>0</v>
      </c>
      <c r="N330" s="7"/>
      <c r="O330" s="7"/>
      <c r="P330" s="7" t="s">
        <v>147</v>
      </c>
    </row>
    <row r="331" customFormat="false" ht="23.85" hidden="false" customHeight="false" outlineLevel="0" collapsed="false">
      <c r="A331" s="7" t="n">
        <v>28</v>
      </c>
      <c r="B331" s="21" t="n">
        <v>46496</v>
      </c>
      <c r="C331" s="7" t="s">
        <v>135</v>
      </c>
      <c r="D331" s="7" t="s">
        <v>108</v>
      </c>
      <c r="E331" s="18" t="s">
        <v>42</v>
      </c>
      <c r="F331" s="18" t="s">
        <v>214</v>
      </c>
      <c r="G331" s="7" t="n">
        <v>40</v>
      </c>
      <c r="H331" s="22" t="n">
        <v>1.8</v>
      </c>
      <c r="I331" s="7" t="s">
        <v>215</v>
      </c>
      <c r="J331" s="7" t="s">
        <v>216</v>
      </c>
      <c r="K331" s="7" t="s">
        <v>217</v>
      </c>
      <c r="L331" s="7"/>
      <c r="M331" s="7" t="n">
        <v>0</v>
      </c>
      <c r="N331" s="7"/>
      <c r="O331" s="7"/>
      <c r="P331" s="7" t="s">
        <v>140</v>
      </c>
    </row>
    <row r="332" customFormat="false" ht="23.85" hidden="false" customHeight="false" outlineLevel="0" collapsed="false">
      <c r="A332" s="7" t="n">
        <v>28</v>
      </c>
      <c r="B332" s="21" t="n">
        <v>46496</v>
      </c>
      <c r="C332" s="7" t="s">
        <v>135</v>
      </c>
      <c r="D332" s="7" t="s">
        <v>108</v>
      </c>
      <c r="E332" s="14" t="s">
        <v>40</v>
      </c>
      <c r="F332" s="14" t="s">
        <v>159</v>
      </c>
      <c r="G332" s="7" t="n">
        <v>60</v>
      </c>
      <c r="H332" s="22" t="n">
        <v>30</v>
      </c>
      <c r="I332" s="7" t="s">
        <v>386</v>
      </c>
      <c r="J332" s="7" t="s">
        <v>161</v>
      </c>
      <c r="K332" s="7" t="s">
        <v>139</v>
      </c>
      <c r="L332" s="7" t="s">
        <v>146</v>
      </c>
      <c r="M332" s="7" t="n">
        <v>0</v>
      </c>
      <c r="N332" s="7"/>
      <c r="O332" s="7"/>
      <c r="P332" s="7" t="s">
        <v>147</v>
      </c>
    </row>
    <row r="333" customFormat="false" ht="23.85" hidden="false" customHeight="false" outlineLevel="0" collapsed="false">
      <c r="A333" s="7" t="n">
        <v>28</v>
      </c>
      <c r="B333" s="21" t="n">
        <v>46497</v>
      </c>
      <c r="C333" s="7" t="s">
        <v>141</v>
      </c>
      <c r="D333" s="7" t="s">
        <v>108</v>
      </c>
      <c r="E333" s="14" t="s">
        <v>40</v>
      </c>
      <c r="F333" s="14" t="s">
        <v>173</v>
      </c>
      <c r="G333" s="7" t="n">
        <v>45</v>
      </c>
      <c r="H333" s="22" t="n">
        <v>20</v>
      </c>
      <c r="I333" s="7" t="s">
        <v>387</v>
      </c>
      <c r="J333" s="7" t="s">
        <v>175</v>
      </c>
      <c r="K333" s="7" t="s">
        <v>176</v>
      </c>
      <c r="L333" s="7" t="s">
        <v>146</v>
      </c>
      <c r="M333" s="7" t="n">
        <v>0</v>
      </c>
      <c r="N333" s="7"/>
      <c r="O333" s="7"/>
      <c r="P333" s="7" t="s">
        <v>147</v>
      </c>
    </row>
    <row r="334" customFormat="false" ht="23.85" hidden="false" customHeight="false" outlineLevel="0" collapsed="false">
      <c r="A334" s="7" t="n">
        <v>28</v>
      </c>
      <c r="B334" s="21" t="n">
        <v>46497</v>
      </c>
      <c r="C334" s="7" t="s">
        <v>141</v>
      </c>
      <c r="D334" s="7" t="s">
        <v>108</v>
      </c>
      <c r="E334" s="24" t="s">
        <v>184</v>
      </c>
      <c r="F334" s="24" t="s">
        <v>259</v>
      </c>
      <c r="G334" s="7" t="n">
        <v>30</v>
      </c>
      <c r="H334" s="22" t="n">
        <v>5</v>
      </c>
      <c r="I334" s="7" t="s">
        <v>260</v>
      </c>
      <c r="J334" s="7" t="s">
        <v>231</v>
      </c>
      <c r="K334" s="7" t="s">
        <v>139</v>
      </c>
      <c r="L334" s="7" t="s">
        <v>146</v>
      </c>
      <c r="M334" s="7" t="n">
        <v>2</v>
      </c>
      <c r="N334" s="7"/>
      <c r="O334" s="7"/>
      <c r="P334" s="7" t="s">
        <v>153</v>
      </c>
    </row>
    <row r="335" customFormat="false" ht="23.85" hidden="false" customHeight="false" outlineLevel="0" collapsed="false">
      <c r="A335" s="7" t="n">
        <v>28</v>
      </c>
      <c r="B335" s="21" t="n">
        <v>46498</v>
      </c>
      <c r="C335" s="7" t="s">
        <v>154</v>
      </c>
      <c r="D335" s="7" t="s">
        <v>108</v>
      </c>
      <c r="E335" s="12" t="s">
        <v>181</v>
      </c>
      <c r="F335" s="12" t="s">
        <v>181</v>
      </c>
      <c r="G335" s="7" t="n">
        <v>0</v>
      </c>
      <c r="H335" s="22"/>
      <c r="I335" s="7" t="s">
        <v>388</v>
      </c>
      <c r="J335" s="7" t="s">
        <v>71</v>
      </c>
      <c r="K335" s="7" t="s">
        <v>71</v>
      </c>
      <c r="L335" s="7"/>
      <c r="M335" s="7" t="n">
        <v>0</v>
      </c>
      <c r="N335" s="7"/>
      <c r="O335" s="7"/>
      <c r="P335" s="7"/>
    </row>
    <row r="336" customFormat="false" ht="23.85" hidden="false" customHeight="false" outlineLevel="0" collapsed="false">
      <c r="A336" s="7" t="n">
        <v>28</v>
      </c>
      <c r="B336" s="21" t="n">
        <v>46499</v>
      </c>
      <c r="C336" s="7" t="s">
        <v>158</v>
      </c>
      <c r="D336" s="7" t="s">
        <v>108</v>
      </c>
      <c r="E336" s="24" t="s">
        <v>184</v>
      </c>
      <c r="F336" s="24" t="s">
        <v>355</v>
      </c>
      <c r="G336" s="7" t="n">
        <v>30</v>
      </c>
      <c r="H336" s="22" t="n">
        <v>5</v>
      </c>
      <c r="I336" s="7" t="s">
        <v>389</v>
      </c>
      <c r="J336" s="7" t="s">
        <v>187</v>
      </c>
      <c r="K336" s="7" t="s">
        <v>217</v>
      </c>
      <c r="L336" s="7" t="s">
        <v>146</v>
      </c>
      <c r="M336" s="7" t="n">
        <v>0</v>
      </c>
      <c r="N336" s="7"/>
      <c r="O336" s="7"/>
      <c r="P336" s="7" t="s">
        <v>147</v>
      </c>
    </row>
    <row r="337" customFormat="false" ht="15" hidden="false" customHeight="false" outlineLevel="0" collapsed="false">
      <c r="A337" s="7" t="n">
        <v>28</v>
      </c>
      <c r="B337" s="21" t="n">
        <v>46500</v>
      </c>
      <c r="C337" s="7" t="s">
        <v>164</v>
      </c>
      <c r="D337" s="7" t="s">
        <v>108</v>
      </c>
      <c r="E337" s="18" t="s">
        <v>42</v>
      </c>
      <c r="F337" s="18" t="s">
        <v>214</v>
      </c>
      <c r="G337" s="7" t="n">
        <v>30</v>
      </c>
      <c r="H337" s="22" t="n">
        <v>1.4</v>
      </c>
      <c r="I337" s="7" t="s">
        <v>390</v>
      </c>
      <c r="J337" s="7" t="s">
        <v>216</v>
      </c>
      <c r="K337" s="7" t="s">
        <v>217</v>
      </c>
      <c r="L337" s="7"/>
      <c r="M337" s="7" t="n">
        <v>0</v>
      </c>
      <c r="N337" s="7"/>
      <c r="O337" s="7"/>
      <c r="P337" s="7" t="s">
        <v>140</v>
      </c>
    </row>
    <row r="338" customFormat="false" ht="23.85" hidden="false" customHeight="false" outlineLevel="0" collapsed="false">
      <c r="A338" s="7" t="n">
        <v>28</v>
      </c>
      <c r="B338" s="21" t="n">
        <v>46501</v>
      </c>
      <c r="C338" s="7" t="s">
        <v>167</v>
      </c>
      <c r="D338" s="7" t="s">
        <v>108</v>
      </c>
      <c r="E338" s="24" t="s">
        <v>184</v>
      </c>
      <c r="F338" s="24" t="s">
        <v>355</v>
      </c>
      <c r="G338" s="7" t="n">
        <v>20</v>
      </c>
      <c r="H338" s="22" t="n">
        <v>3.5</v>
      </c>
      <c r="I338" s="7" t="s">
        <v>391</v>
      </c>
      <c r="J338" s="7" t="s">
        <v>187</v>
      </c>
      <c r="K338" s="7" t="s">
        <v>217</v>
      </c>
      <c r="L338" s="7" t="s">
        <v>146</v>
      </c>
      <c r="M338" s="7" t="n">
        <v>1</v>
      </c>
      <c r="N338" s="7"/>
      <c r="O338" s="7"/>
      <c r="P338" s="7" t="s">
        <v>147</v>
      </c>
    </row>
    <row r="339" customFormat="false" ht="35.05" hidden="false" customHeight="false" outlineLevel="0" collapsed="false">
      <c r="A339" s="25" t="n">
        <v>28</v>
      </c>
      <c r="B339" s="26" t="n">
        <v>46502</v>
      </c>
      <c r="C339" s="25" t="s">
        <v>172</v>
      </c>
      <c r="D339" s="25" t="s">
        <v>108</v>
      </c>
      <c r="E339" s="27" t="s">
        <v>357</v>
      </c>
      <c r="F339" s="27" t="s">
        <v>392</v>
      </c>
      <c r="G339" s="25" t="n">
        <v>245</v>
      </c>
      <c r="H339" s="28" t="n">
        <v>42.2</v>
      </c>
      <c r="I339" s="25" t="s">
        <v>393</v>
      </c>
      <c r="J339" s="25" t="s">
        <v>394</v>
      </c>
      <c r="K339" s="25" t="s">
        <v>361</v>
      </c>
      <c r="L339" s="25" t="s">
        <v>395</v>
      </c>
      <c r="M339" s="25" t="n">
        <v>0</v>
      </c>
      <c r="N339" s="25"/>
      <c r="O339" s="25"/>
      <c r="P339" s="25" t="s">
        <v>357</v>
      </c>
    </row>
    <row r="340" customFormat="false" ht="23.85" hidden="false" customHeight="false" outlineLevel="0" collapsed="false">
      <c r="A340" s="7" t="n">
        <v>29</v>
      </c>
      <c r="B340" s="21" t="n">
        <v>46503</v>
      </c>
      <c r="C340" s="7" t="s">
        <v>135</v>
      </c>
      <c r="D340" s="7" t="s">
        <v>108</v>
      </c>
      <c r="E340" s="12" t="s">
        <v>181</v>
      </c>
      <c r="F340" s="12" t="s">
        <v>181</v>
      </c>
      <c r="G340" s="7" t="n">
        <v>0</v>
      </c>
      <c r="H340" s="22"/>
      <c r="I340" s="7" t="s">
        <v>396</v>
      </c>
      <c r="J340" s="7" t="s">
        <v>71</v>
      </c>
      <c r="K340" s="7" t="s">
        <v>71</v>
      </c>
      <c r="L340" s="7"/>
      <c r="M340" s="7" t="n">
        <v>0</v>
      </c>
      <c r="N340" s="7"/>
      <c r="O340" s="7"/>
      <c r="P340" s="7"/>
    </row>
    <row r="341" customFormat="false" ht="23.85" hidden="false" customHeight="false" outlineLevel="0" collapsed="false">
      <c r="A341" s="7" t="n">
        <v>29</v>
      </c>
      <c r="B341" s="21" t="n">
        <v>46504</v>
      </c>
      <c r="C341" s="7" t="s">
        <v>141</v>
      </c>
      <c r="D341" s="7" t="s">
        <v>108</v>
      </c>
      <c r="E341" s="14" t="s">
        <v>40</v>
      </c>
      <c r="F341" s="14" t="s">
        <v>397</v>
      </c>
      <c r="G341" s="7" t="n">
        <v>30</v>
      </c>
      <c r="H341" s="22"/>
      <c r="I341" s="7" t="s">
        <v>398</v>
      </c>
      <c r="J341" s="7" t="s">
        <v>399</v>
      </c>
      <c r="K341" s="7" t="s">
        <v>139</v>
      </c>
      <c r="L341" s="7" t="s">
        <v>146</v>
      </c>
      <c r="M341" s="7" t="n">
        <v>0</v>
      </c>
      <c r="N341" s="7"/>
      <c r="O341" s="7"/>
      <c r="P341" s="7" t="s">
        <v>147</v>
      </c>
    </row>
    <row r="342" customFormat="false" ht="23.85" hidden="false" customHeight="false" outlineLevel="0" collapsed="false">
      <c r="A342" s="7" t="n">
        <v>29</v>
      </c>
      <c r="B342" s="21" t="n">
        <v>46505</v>
      </c>
      <c r="C342" s="7" t="s">
        <v>154</v>
      </c>
      <c r="D342" s="7" t="s">
        <v>108</v>
      </c>
      <c r="E342" s="23" t="s">
        <v>148</v>
      </c>
      <c r="F342" s="23" t="s">
        <v>400</v>
      </c>
      <c r="G342" s="7" t="n">
        <v>30</v>
      </c>
      <c r="H342" s="22"/>
      <c r="I342" s="7" t="s">
        <v>401</v>
      </c>
      <c r="J342" s="7" t="s">
        <v>402</v>
      </c>
      <c r="K342" s="7" t="s">
        <v>403</v>
      </c>
      <c r="L342" s="7"/>
      <c r="M342" s="7" t="n">
        <v>0</v>
      </c>
      <c r="N342" s="7"/>
      <c r="O342" s="7"/>
      <c r="P342" s="7" t="s">
        <v>153</v>
      </c>
    </row>
    <row r="343" customFormat="false" ht="23.85" hidden="false" customHeight="false" outlineLevel="0" collapsed="false">
      <c r="A343" s="7" t="n">
        <v>29</v>
      </c>
      <c r="B343" s="21" t="n">
        <v>46506</v>
      </c>
      <c r="C343" s="7" t="s">
        <v>158</v>
      </c>
      <c r="D343" s="7" t="s">
        <v>108</v>
      </c>
      <c r="E343" s="18" t="s">
        <v>42</v>
      </c>
      <c r="F343" s="18" t="s">
        <v>214</v>
      </c>
      <c r="G343" s="7" t="n">
        <v>40</v>
      </c>
      <c r="H343" s="22" t="n">
        <v>1.8</v>
      </c>
      <c r="I343" s="7" t="s">
        <v>215</v>
      </c>
      <c r="J343" s="7" t="s">
        <v>216</v>
      </c>
      <c r="K343" s="7" t="s">
        <v>217</v>
      </c>
      <c r="L343" s="7"/>
      <c r="M343" s="7" t="n">
        <v>0</v>
      </c>
      <c r="N343" s="7"/>
      <c r="O343" s="7"/>
      <c r="P343" s="7" t="s">
        <v>140</v>
      </c>
    </row>
    <row r="344" customFormat="false" ht="23.85" hidden="false" customHeight="false" outlineLevel="0" collapsed="false">
      <c r="A344" s="7" t="n">
        <v>29</v>
      </c>
      <c r="B344" s="21" t="n">
        <v>46507</v>
      </c>
      <c r="C344" s="7" t="s">
        <v>164</v>
      </c>
      <c r="D344" s="7" t="s">
        <v>108</v>
      </c>
      <c r="E344" s="14" t="s">
        <v>40</v>
      </c>
      <c r="F344" s="14" t="s">
        <v>397</v>
      </c>
      <c r="G344" s="7" t="n">
        <v>40</v>
      </c>
      <c r="H344" s="22"/>
      <c r="I344" s="7" t="s">
        <v>404</v>
      </c>
      <c r="J344" s="7" t="s">
        <v>399</v>
      </c>
      <c r="K344" s="7" t="s">
        <v>139</v>
      </c>
      <c r="L344" s="7" t="s">
        <v>146</v>
      </c>
      <c r="M344" s="7" t="n">
        <v>0</v>
      </c>
      <c r="N344" s="7"/>
      <c r="O344" s="7"/>
      <c r="P344" s="7" t="s">
        <v>147</v>
      </c>
    </row>
    <row r="345" customFormat="false" ht="23.85" hidden="false" customHeight="false" outlineLevel="0" collapsed="false">
      <c r="A345" s="7" t="n">
        <v>29</v>
      </c>
      <c r="B345" s="21" t="n">
        <v>46508</v>
      </c>
      <c r="C345" s="7" t="s">
        <v>167</v>
      </c>
      <c r="D345" s="7" t="s">
        <v>108</v>
      </c>
      <c r="E345" s="18" t="s">
        <v>42</v>
      </c>
      <c r="F345" s="18" t="s">
        <v>214</v>
      </c>
      <c r="G345" s="7" t="n">
        <v>40</v>
      </c>
      <c r="H345" s="22" t="n">
        <v>1.8</v>
      </c>
      <c r="I345" s="7" t="s">
        <v>215</v>
      </c>
      <c r="J345" s="7" t="s">
        <v>216</v>
      </c>
      <c r="K345" s="7" t="s">
        <v>217</v>
      </c>
      <c r="L345" s="7"/>
      <c r="M345" s="7" t="n">
        <v>0</v>
      </c>
      <c r="N345" s="7"/>
      <c r="O345" s="7"/>
      <c r="P345" s="7" t="s">
        <v>262</v>
      </c>
    </row>
    <row r="346" customFormat="false" ht="23.85" hidden="false" customHeight="false" outlineLevel="0" collapsed="false">
      <c r="A346" s="7" t="n">
        <v>29</v>
      </c>
      <c r="B346" s="21" t="n">
        <v>46508</v>
      </c>
      <c r="C346" s="7" t="s">
        <v>167</v>
      </c>
      <c r="D346" s="7" t="s">
        <v>108</v>
      </c>
      <c r="E346" s="24" t="s">
        <v>184</v>
      </c>
      <c r="F346" s="24" t="s">
        <v>405</v>
      </c>
      <c r="G346" s="7" t="n">
        <v>25</v>
      </c>
      <c r="H346" s="22" t="n">
        <v>4</v>
      </c>
      <c r="I346" s="7" t="s">
        <v>406</v>
      </c>
      <c r="J346" s="7" t="s">
        <v>187</v>
      </c>
      <c r="K346" s="7" t="s">
        <v>217</v>
      </c>
      <c r="L346" s="7" t="s">
        <v>146</v>
      </c>
      <c r="M346" s="7" t="n">
        <v>0</v>
      </c>
      <c r="N346" s="7"/>
      <c r="O346" s="7"/>
      <c r="P346" s="7" t="s">
        <v>147</v>
      </c>
    </row>
    <row r="347" customFormat="false" ht="23.85" hidden="false" customHeight="false" outlineLevel="0" collapsed="false">
      <c r="A347" s="7" t="n">
        <v>29</v>
      </c>
      <c r="B347" s="21" t="n">
        <v>46509</v>
      </c>
      <c r="C347" s="7" t="s">
        <v>172</v>
      </c>
      <c r="D347" s="7" t="s">
        <v>108</v>
      </c>
      <c r="E347" s="18" t="s">
        <v>42</v>
      </c>
      <c r="F347" s="18" t="s">
        <v>136</v>
      </c>
      <c r="G347" s="7" t="n">
        <v>45</v>
      </c>
      <c r="H347" s="22" t="n">
        <v>2.2</v>
      </c>
      <c r="I347" s="7" t="s">
        <v>407</v>
      </c>
      <c r="J347" s="7" t="s">
        <v>138</v>
      </c>
      <c r="K347" s="7" t="s">
        <v>139</v>
      </c>
      <c r="L347" s="7"/>
      <c r="M347" s="7" t="n">
        <v>0</v>
      </c>
      <c r="N347" s="7"/>
      <c r="O347" s="7"/>
      <c r="P347" s="7" t="s">
        <v>262</v>
      </c>
    </row>
    <row r="348" customFormat="false" ht="23.85" hidden="false" customHeight="false" outlineLevel="0" collapsed="false">
      <c r="A348" s="7" t="n">
        <v>30</v>
      </c>
      <c r="B348" s="21" t="n">
        <v>46510</v>
      </c>
      <c r="C348" s="7" t="s">
        <v>135</v>
      </c>
      <c r="D348" s="7" t="s">
        <v>108</v>
      </c>
      <c r="E348" s="18" t="s">
        <v>42</v>
      </c>
      <c r="F348" s="18" t="s">
        <v>136</v>
      </c>
      <c r="G348" s="7" t="n">
        <v>55</v>
      </c>
      <c r="H348" s="22" t="n">
        <v>2.8</v>
      </c>
      <c r="I348" s="7" t="s">
        <v>408</v>
      </c>
      <c r="J348" s="7" t="s">
        <v>138</v>
      </c>
      <c r="K348" s="7" t="s">
        <v>139</v>
      </c>
      <c r="L348" s="7"/>
      <c r="M348" s="7" t="n">
        <v>0</v>
      </c>
      <c r="N348" s="7"/>
      <c r="O348" s="7"/>
      <c r="P348" s="7" t="s">
        <v>140</v>
      </c>
    </row>
    <row r="349" customFormat="false" ht="23.85" hidden="false" customHeight="false" outlineLevel="0" collapsed="false">
      <c r="A349" s="7" t="n">
        <v>30</v>
      </c>
      <c r="B349" s="21" t="n">
        <v>46510</v>
      </c>
      <c r="C349" s="7" t="s">
        <v>135</v>
      </c>
      <c r="D349" s="7" t="s">
        <v>108</v>
      </c>
      <c r="E349" s="23" t="s">
        <v>148</v>
      </c>
      <c r="F349" s="23" t="s">
        <v>282</v>
      </c>
      <c r="G349" s="7" t="n">
        <v>35</v>
      </c>
      <c r="H349" s="22"/>
      <c r="I349" s="7" t="s">
        <v>316</v>
      </c>
      <c r="J349" s="7" t="s">
        <v>151</v>
      </c>
      <c r="K349" s="7" t="s">
        <v>152</v>
      </c>
      <c r="L349" s="7"/>
      <c r="M349" s="7" t="n">
        <v>0</v>
      </c>
      <c r="N349" s="7"/>
      <c r="O349" s="7"/>
      <c r="P349" s="7" t="s">
        <v>153</v>
      </c>
    </row>
    <row r="350" customFormat="false" ht="35.05" hidden="false" customHeight="false" outlineLevel="0" collapsed="false">
      <c r="A350" s="7" t="n">
        <v>30</v>
      </c>
      <c r="B350" s="21" t="n">
        <v>46511</v>
      </c>
      <c r="C350" s="7" t="s">
        <v>141</v>
      </c>
      <c r="D350" s="7" t="s">
        <v>108</v>
      </c>
      <c r="E350" s="14" t="s">
        <v>40</v>
      </c>
      <c r="F350" s="14" t="s">
        <v>397</v>
      </c>
      <c r="G350" s="7" t="n">
        <v>60</v>
      </c>
      <c r="H350" s="22"/>
      <c r="I350" s="7" t="s">
        <v>409</v>
      </c>
      <c r="J350" s="7" t="s">
        <v>399</v>
      </c>
      <c r="K350" s="7" t="s">
        <v>139</v>
      </c>
      <c r="L350" s="7" t="s">
        <v>146</v>
      </c>
      <c r="M350" s="7" t="n">
        <v>0</v>
      </c>
      <c r="N350" s="7"/>
      <c r="O350" s="7"/>
      <c r="P350" s="7" t="s">
        <v>147</v>
      </c>
    </row>
    <row r="351" customFormat="false" ht="23.85" hidden="false" customHeight="false" outlineLevel="0" collapsed="false">
      <c r="A351" s="7" t="n">
        <v>30</v>
      </c>
      <c r="B351" s="21" t="n">
        <v>46511</v>
      </c>
      <c r="C351" s="7" t="s">
        <v>141</v>
      </c>
      <c r="D351" s="7" t="s">
        <v>108</v>
      </c>
      <c r="E351" s="24" t="s">
        <v>184</v>
      </c>
      <c r="F351" s="24" t="s">
        <v>229</v>
      </c>
      <c r="G351" s="7" t="n">
        <v>35</v>
      </c>
      <c r="H351" s="22" t="n">
        <v>5.8</v>
      </c>
      <c r="I351" s="7" t="s">
        <v>264</v>
      </c>
      <c r="J351" s="7" t="s">
        <v>231</v>
      </c>
      <c r="K351" s="7" t="s">
        <v>139</v>
      </c>
      <c r="L351" s="7" t="s">
        <v>146</v>
      </c>
      <c r="M351" s="7" t="n">
        <v>0</v>
      </c>
      <c r="N351" s="7"/>
      <c r="O351" s="7"/>
      <c r="P351" s="7" t="s">
        <v>153</v>
      </c>
    </row>
    <row r="352" customFormat="false" ht="23.85" hidden="false" customHeight="false" outlineLevel="0" collapsed="false">
      <c r="A352" s="7" t="n">
        <v>30</v>
      </c>
      <c r="B352" s="21" t="n">
        <v>46512</v>
      </c>
      <c r="C352" s="7" t="s">
        <v>154</v>
      </c>
      <c r="D352" s="7" t="s">
        <v>108</v>
      </c>
      <c r="E352" s="18" t="s">
        <v>42</v>
      </c>
      <c r="F352" s="18" t="s">
        <v>155</v>
      </c>
      <c r="G352" s="7" t="n">
        <v>55</v>
      </c>
      <c r="H352" s="22" t="n">
        <v>2.6</v>
      </c>
      <c r="I352" s="7" t="s">
        <v>338</v>
      </c>
      <c r="J352" s="7" t="s">
        <v>157</v>
      </c>
      <c r="K352" s="7" t="s">
        <v>152</v>
      </c>
      <c r="L352" s="7"/>
      <c r="M352" s="7" t="n">
        <v>26</v>
      </c>
      <c r="N352" s="7"/>
      <c r="O352" s="7"/>
      <c r="P352" s="7" t="s">
        <v>140</v>
      </c>
    </row>
    <row r="353" customFormat="false" ht="23.85" hidden="false" customHeight="false" outlineLevel="0" collapsed="false">
      <c r="A353" s="7" t="n">
        <v>30</v>
      </c>
      <c r="B353" s="21" t="n">
        <v>46512</v>
      </c>
      <c r="C353" s="7" t="s">
        <v>154</v>
      </c>
      <c r="D353" s="7" t="s">
        <v>108</v>
      </c>
      <c r="E353" s="24" t="s">
        <v>184</v>
      </c>
      <c r="F353" s="24" t="s">
        <v>229</v>
      </c>
      <c r="G353" s="7" t="n">
        <v>35</v>
      </c>
      <c r="H353" s="22" t="n">
        <v>5.8</v>
      </c>
      <c r="I353" s="7" t="s">
        <v>264</v>
      </c>
      <c r="J353" s="7" t="s">
        <v>231</v>
      </c>
      <c r="K353" s="7" t="s">
        <v>139</v>
      </c>
      <c r="L353" s="7" t="s">
        <v>146</v>
      </c>
      <c r="M353" s="7" t="n">
        <v>0</v>
      </c>
      <c r="N353" s="7"/>
      <c r="O353" s="7"/>
      <c r="P353" s="7" t="s">
        <v>147</v>
      </c>
    </row>
    <row r="354" customFormat="false" ht="23.85" hidden="false" customHeight="false" outlineLevel="0" collapsed="false">
      <c r="A354" s="7" t="n">
        <v>30</v>
      </c>
      <c r="B354" s="21" t="n">
        <v>46513</v>
      </c>
      <c r="C354" s="7" t="s">
        <v>158</v>
      </c>
      <c r="D354" s="7" t="s">
        <v>108</v>
      </c>
      <c r="E354" s="14" t="s">
        <v>40</v>
      </c>
      <c r="F354" s="14" t="s">
        <v>397</v>
      </c>
      <c r="G354" s="7" t="n">
        <v>60</v>
      </c>
      <c r="H354" s="22"/>
      <c r="I354" s="7" t="s">
        <v>410</v>
      </c>
      <c r="J354" s="7" t="s">
        <v>399</v>
      </c>
      <c r="K354" s="7" t="s">
        <v>139</v>
      </c>
      <c r="L354" s="7" t="s">
        <v>146</v>
      </c>
      <c r="M354" s="7" t="n">
        <v>0</v>
      </c>
      <c r="N354" s="7"/>
      <c r="O354" s="7"/>
      <c r="P354" s="7" t="s">
        <v>147</v>
      </c>
    </row>
    <row r="355" customFormat="false" ht="35.05" hidden="false" customHeight="false" outlineLevel="0" collapsed="false">
      <c r="A355" s="7" t="n">
        <v>30</v>
      </c>
      <c r="B355" s="21" t="n">
        <v>46513</v>
      </c>
      <c r="C355" s="7" t="s">
        <v>158</v>
      </c>
      <c r="D355" s="7" t="s">
        <v>108</v>
      </c>
      <c r="E355" s="23" t="s">
        <v>148</v>
      </c>
      <c r="F355" s="23" t="s">
        <v>287</v>
      </c>
      <c r="G355" s="7" t="n">
        <v>25</v>
      </c>
      <c r="H355" s="22"/>
      <c r="I355" s="7" t="s">
        <v>288</v>
      </c>
      <c r="J355" s="7" t="s">
        <v>151</v>
      </c>
      <c r="K355" s="7" t="s">
        <v>152</v>
      </c>
      <c r="L355" s="7"/>
      <c r="M355" s="7" t="n">
        <v>0</v>
      </c>
      <c r="N355" s="7"/>
      <c r="O355" s="7"/>
      <c r="P355" s="7" t="s">
        <v>153</v>
      </c>
    </row>
    <row r="356" customFormat="false" ht="23.85" hidden="false" customHeight="false" outlineLevel="0" collapsed="false">
      <c r="A356" s="7" t="n">
        <v>30</v>
      </c>
      <c r="B356" s="21" t="n">
        <v>46514</v>
      </c>
      <c r="C356" s="7" t="s">
        <v>164</v>
      </c>
      <c r="D356" s="7" t="s">
        <v>108</v>
      </c>
      <c r="E356" s="18" t="s">
        <v>42</v>
      </c>
      <c r="F356" s="18" t="s">
        <v>165</v>
      </c>
      <c r="G356" s="7" t="n">
        <v>60</v>
      </c>
      <c r="H356" s="22" t="n">
        <v>3</v>
      </c>
      <c r="I356" s="7" t="s">
        <v>363</v>
      </c>
      <c r="J356" s="7" t="s">
        <v>138</v>
      </c>
      <c r="K356" s="7" t="s">
        <v>139</v>
      </c>
      <c r="L356" s="7"/>
      <c r="M356" s="7" t="n">
        <v>0</v>
      </c>
      <c r="N356" s="7"/>
      <c r="O356" s="7"/>
      <c r="P356" s="7" t="s">
        <v>140</v>
      </c>
    </row>
    <row r="357" customFormat="false" ht="23.85" hidden="false" customHeight="false" outlineLevel="0" collapsed="false">
      <c r="A357" s="7" t="n">
        <v>30</v>
      </c>
      <c r="B357" s="21" t="n">
        <v>46514</v>
      </c>
      <c r="C357" s="7" t="s">
        <v>164</v>
      </c>
      <c r="D357" s="7" t="s">
        <v>108</v>
      </c>
      <c r="E357" s="24" t="s">
        <v>184</v>
      </c>
      <c r="F357" s="24" t="s">
        <v>259</v>
      </c>
      <c r="G357" s="7" t="n">
        <v>30</v>
      </c>
      <c r="H357" s="22" t="n">
        <v>5</v>
      </c>
      <c r="I357" s="7" t="s">
        <v>260</v>
      </c>
      <c r="J357" s="7" t="s">
        <v>231</v>
      </c>
      <c r="K357" s="7" t="s">
        <v>139</v>
      </c>
      <c r="L357" s="7" t="s">
        <v>146</v>
      </c>
      <c r="M357" s="7" t="n">
        <v>2</v>
      </c>
      <c r="N357" s="7"/>
      <c r="O357" s="7"/>
      <c r="P357" s="7" t="s">
        <v>147</v>
      </c>
    </row>
    <row r="358" customFormat="false" ht="35.05" hidden="false" customHeight="false" outlineLevel="0" collapsed="false">
      <c r="A358" s="7" t="n">
        <v>30</v>
      </c>
      <c r="B358" s="21" t="n">
        <v>46515</v>
      </c>
      <c r="C358" s="7" t="s">
        <v>167</v>
      </c>
      <c r="D358" s="7" t="s">
        <v>108</v>
      </c>
      <c r="E358" s="14" t="s">
        <v>40</v>
      </c>
      <c r="F358" s="14" t="s">
        <v>397</v>
      </c>
      <c r="G358" s="7" t="n">
        <v>75</v>
      </c>
      <c r="H358" s="22"/>
      <c r="I358" s="7" t="s">
        <v>411</v>
      </c>
      <c r="J358" s="7" t="s">
        <v>399</v>
      </c>
      <c r="K358" s="7" t="s">
        <v>139</v>
      </c>
      <c r="L358" s="7" t="s">
        <v>240</v>
      </c>
      <c r="M358" s="7" t="n">
        <v>0</v>
      </c>
      <c r="N358" s="7"/>
      <c r="O358" s="7"/>
      <c r="P358" s="7" t="s">
        <v>147</v>
      </c>
    </row>
    <row r="359" customFormat="false" ht="35.05" hidden="false" customHeight="false" outlineLevel="0" collapsed="false">
      <c r="A359" s="7" t="n">
        <v>30</v>
      </c>
      <c r="B359" s="21" t="n">
        <v>46515</v>
      </c>
      <c r="C359" s="7" t="s">
        <v>167</v>
      </c>
      <c r="D359" s="7" t="s">
        <v>108</v>
      </c>
      <c r="E359" s="24" t="s">
        <v>184</v>
      </c>
      <c r="F359" s="24" t="s">
        <v>243</v>
      </c>
      <c r="G359" s="7" t="n">
        <v>20</v>
      </c>
      <c r="H359" s="22" t="n">
        <v>3.3</v>
      </c>
      <c r="I359" s="7" t="s">
        <v>412</v>
      </c>
      <c r="J359" s="7" t="s">
        <v>231</v>
      </c>
      <c r="K359" s="7" t="s">
        <v>245</v>
      </c>
      <c r="L359" s="7" t="s">
        <v>146</v>
      </c>
      <c r="M359" s="7" t="n">
        <v>0</v>
      </c>
      <c r="N359" s="7"/>
      <c r="O359" s="7"/>
      <c r="P359" s="7" t="s">
        <v>246</v>
      </c>
    </row>
    <row r="360" customFormat="false" ht="35.05" hidden="false" customHeight="false" outlineLevel="0" collapsed="false">
      <c r="A360" s="7" t="n">
        <v>30</v>
      </c>
      <c r="B360" s="21" t="n">
        <v>46516</v>
      </c>
      <c r="C360" s="7" t="s">
        <v>172</v>
      </c>
      <c r="D360" s="7" t="s">
        <v>108</v>
      </c>
      <c r="E360" s="24" t="s">
        <v>184</v>
      </c>
      <c r="F360" s="24" t="s">
        <v>247</v>
      </c>
      <c r="G360" s="7" t="n">
        <v>75</v>
      </c>
      <c r="H360" s="22" t="n">
        <v>12.5</v>
      </c>
      <c r="I360" s="7" t="s">
        <v>413</v>
      </c>
      <c r="J360" s="7" t="s">
        <v>231</v>
      </c>
      <c r="K360" s="7" t="s">
        <v>139</v>
      </c>
      <c r="L360" s="7" t="s">
        <v>303</v>
      </c>
      <c r="M360" s="7" t="n">
        <v>0</v>
      </c>
      <c r="N360" s="7"/>
      <c r="O360" s="7"/>
      <c r="P360" s="7" t="s">
        <v>147</v>
      </c>
    </row>
    <row r="361" customFormat="false" ht="23.85" hidden="false" customHeight="false" outlineLevel="0" collapsed="false">
      <c r="A361" s="7" t="n">
        <v>31</v>
      </c>
      <c r="B361" s="21" t="n">
        <v>46517</v>
      </c>
      <c r="C361" s="7" t="s">
        <v>135</v>
      </c>
      <c r="D361" s="7" t="s">
        <v>112</v>
      </c>
      <c r="E361" s="14" t="s">
        <v>40</v>
      </c>
      <c r="F361" s="14" t="s">
        <v>173</v>
      </c>
      <c r="G361" s="7" t="n">
        <v>45</v>
      </c>
      <c r="H361" s="22" t="n">
        <v>20</v>
      </c>
      <c r="I361" s="7" t="s">
        <v>304</v>
      </c>
      <c r="J361" s="7" t="s">
        <v>175</v>
      </c>
      <c r="K361" s="7" t="s">
        <v>176</v>
      </c>
      <c r="L361" s="7" t="s">
        <v>146</v>
      </c>
      <c r="M361" s="7" t="n">
        <v>0</v>
      </c>
      <c r="N361" s="7"/>
      <c r="O361" s="7"/>
      <c r="P361" s="7" t="s">
        <v>147</v>
      </c>
    </row>
    <row r="362" customFormat="false" ht="23.85" hidden="false" customHeight="false" outlineLevel="0" collapsed="false">
      <c r="A362" s="7" t="n">
        <v>31</v>
      </c>
      <c r="B362" s="21" t="n">
        <v>46517</v>
      </c>
      <c r="C362" s="7" t="s">
        <v>135</v>
      </c>
      <c r="D362" s="7" t="s">
        <v>112</v>
      </c>
      <c r="E362" s="24" t="s">
        <v>184</v>
      </c>
      <c r="F362" s="24" t="s">
        <v>229</v>
      </c>
      <c r="G362" s="7" t="n">
        <v>40</v>
      </c>
      <c r="H362" s="22" t="n">
        <v>6.7</v>
      </c>
      <c r="I362" s="7" t="s">
        <v>381</v>
      </c>
      <c r="J362" s="7" t="s">
        <v>231</v>
      </c>
      <c r="K362" s="7" t="s">
        <v>139</v>
      </c>
      <c r="L362" s="7" t="s">
        <v>146</v>
      </c>
      <c r="M362" s="7" t="n">
        <v>0</v>
      </c>
      <c r="N362" s="7"/>
      <c r="O362" s="7"/>
      <c r="P362" s="7" t="s">
        <v>153</v>
      </c>
    </row>
    <row r="363" customFormat="false" ht="35.05" hidden="false" customHeight="false" outlineLevel="0" collapsed="false">
      <c r="A363" s="7" t="n">
        <v>31</v>
      </c>
      <c r="B363" s="21" t="n">
        <v>46518</v>
      </c>
      <c r="C363" s="7" t="s">
        <v>141</v>
      </c>
      <c r="D363" s="7" t="s">
        <v>112</v>
      </c>
      <c r="E363" s="14" t="s">
        <v>40</v>
      </c>
      <c r="F363" s="14" t="s">
        <v>142</v>
      </c>
      <c r="G363" s="7" t="n">
        <v>75</v>
      </c>
      <c r="H363" s="22" t="n">
        <v>38</v>
      </c>
      <c r="I363" s="7" t="s">
        <v>232</v>
      </c>
      <c r="J363" s="7" t="s">
        <v>233</v>
      </c>
      <c r="K363" s="7" t="s">
        <v>145</v>
      </c>
      <c r="L363" s="7" t="s">
        <v>240</v>
      </c>
      <c r="M363" s="7" t="n">
        <v>25</v>
      </c>
      <c r="N363" s="7"/>
      <c r="O363" s="7"/>
      <c r="P363" s="7" t="s">
        <v>147</v>
      </c>
    </row>
    <row r="364" customFormat="false" ht="23.85" hidden="false" customHeight="false" outlineLevel="0" collapsed="false">
      <c r="A364" s="7" t="n">
        <v>31</v>
      </c>
      <c r="B364" s="21" t="n">
        <v>46518</v>
      </c>
      <c r="C364" s="7" t="s">
        <v>141</v>
      </c>
      <c r="D364" s="7" t="s">
        <v>112</v>
      </c>
      <c r="E364" s="23" t="s">
        <v>148</v>
      </c>
      <c r="F364" s="23" t="s">
        <v>343</v>
      </c>
      <c r="G364" s="7" t="n">
        <v>30</v>
      </c>
      <c r="H364" s="22"/>
      <c r="I364" s="7" t="s">
        <v>379</v>
      </c>
      <c r="J364" s="7" t="s">
        <v>151</v>
      </c>
      <c r="K364" s="7" t="s">
        <v>152</v>
      </c>
      <c r="L364" s="7"/>
      <c r="M364" s="7" t="n">
        <v>0</v>
      </c>
      <c r="N364" s="7"/>
      <c r="O364" s="7"/>
      <c r="P364" s="7" t="s">
        <v>153</v>
      </c>
    </row>
    <row r="365" customFormat="false" ht="23.85" hidden="false" customHeight="false" outlineLevel="0" collapsed="false">
      <c r="A365" s="7" t="n">
        <v>31</v>
      </c>
      <c r="B365" s="21" t="n">
        <v>46519</v>
      </c>
      <c r="C365" s="7" t="s">
        <v>154</v>
      </c>
      <c r="D365" s="7" t="s">
        <v>112</v>
      </c>
      <c r="E365" s="18" t="s">
        <v>42</v>
      </c>
      <c r="F365" s="18" t="s">
        <v>155</v>
      </c>
      <c r="G365" s="7" t="n">
        <v>65</v>
      </c>
      <c r="H365" s="22" t="n">
        <v>3.1</v>
      </c>
      <c r="I365" s="7" t="s">
        <v>414</v>
      </c>
      <c r="J365" s="7" t="s">
        <v>157</v>
      </c>
      <c r="K365" s="7" t="s">
        <v>152</v>
      </c>
      <c r="L365" s="7"/>
      <c r="M365" s="7" t="n">
        <v>33</v>
      </c>
      <c r="N365" s="7"/>
      <c r="O365" s="7"/>
      <c r="P365" s="7" t="s">
        <v>140</v>
      </c>
    </row>
    <row r="366" customFormat="false" ht="23.85" hidden="false" customHeight="false" outlineLevel="0" collapsed="false">
      <c r="A366" s="7" t="n">
        <v>31</v>
      </c>
      <c r="B366" s="21" t="n">
        <v>46519</v>
      </c>
      <c r="C366" s="7" t="s">
        <v>154</v>
      </c>
      <c r="D366" s="7" t="s">
        <v>112</v>
      </c>
      <c r="E366" s="24" t="s">
        <v>184</v>
      </c>
      <c r="F366" s="24" t="s">
        <v>229</v>
      </c>
      <c r="G366" s="7" t="n">
        <v>40</v>
      </c>
      <c r="H366" s="22" t="n">
        <v>6.7</v>
      </c>
      <c r="I366" s="7" t="s">
        <v>381</v>
      </c>
      <c r="J366" s="7" t="s">
        <v>231</v>
      </c>
      <c r="K366" s="7" t="s">
        <v>139</v>
      </c>
      <c r="L366" s="7" t="s">
        <v>146</v>
      </c>
      <c r="M366" s="7" t="n">
        <v>0</v>
      </c>
      <c r="N366" s="7"/>
      <c r="O366" s="7"/>
      <c r="P366" s="7" t="s">
        <v>147</v>
      </c>
    </row>
    <row r="367" customFormat="false" ht="35.05" hidden="false" customHeight="false" outlineLevel="0" collapsed="false">
      <c r="A367" s="7" t="n">
        <v>31</v>
      </c>
      <c r="B367" s="21" t="n">
        <v>46520</v>
      </c>
      <c r="C367" s="7" t="s">
        <v>158</v>
      </c>
      <c r="D367" s="7" t="s">
        <v>112</v>
      </c>
      <c r="E367" s="14" t="s">
        <v>40</v>
      </c>
      <c r="F367" s="14" t="s">
        <v>415</v>
      </c>
      <c r="G367" s="7" t="n">
        <v>75</v>
      </c>
      <c r="H367" s="22" t="n">
        <v>38</v>
      </c>
      <c r="I367" s="7" t="s">
        <v>416</v>
      </c>
      <c r="J367" s="7" t="s">
        <v>161</v>
      </c>
      <c r="K367" s="7" t="s">
        <v>139</v>
      </c>
      <c r="L367" s="7" t="s">
        <v>240</v>
      </c>
      <c r="M367" s="7" t="n">
        <v>0</v>
      </c>
      <c r="N367" s="7"/>
      <c r="O367" s="7"/>
      <c r="P367" s="7" t="s">
        <v>147</v>
      </c>
    </row>
    <row r="368" customFormat="false" ht="23.85" hidden="false" customHeight="false" outlineLevel="0" collapsed="false">
      <c r="A368" s="7" t="n">
        <v>31</v>
      </c>
      <c r="B368" s="21" t="n">
        <v>46520</v>
      </c>
      <c r="C368" s="7" t="s">
        <v>158</v>
      </c>
      <c r="D368" s="7" t="s">
        <v>112</v>
      </c>
      <c r="E368" s="24" t="s">
        <v>184</v>
      </c>
      <c r="F368" s="24" t="s">
        <v>259</v>
      </c>
      <c r="G368" s="7" t="n">
        <v>40</v>
      </c>
      <c r="H368" s="22" t="n">
        <v>6.7</v>
      </c>
      <c r="I368" s="7" t="s">
        <v>334</v>
      </c>
      <c r="J368" s="7" t="s">
        <v>231</v>
      </c>
      <c r="K368" s="7" t="s">
        <v>139</v>
      </c>
      <c r="L368" s="7" t="s">
        <v>146</v>
      </c>
      <c r="M368" s="7" t="n">
        <v>2</v>
      </c>
      <c r="N368" s="7"/>
      <c r="O368" s="7"/>
      <c r="P368" s="7" t="s">
        <v>153</v>
      </c>
    </row>
    <row r="369" customFormat="false" ht="23.85" hidden="false" customHeight="false" outlineLevel="0" collapsed="false">
      <c r="A369" s="7" t="n">
        <v>31</v>
      </c>
      <c r="B369" s="21" t="n">
        <v>46521</v>
      </c>
      <c r="C369" s="7" t="s">
        <v>164</v>
      </c>
      <c r="D369" s="7" t="s">
        <v>112</v>
      </c>
      <c r="E369" s="18" t="s">
        <v>42</v>
      </c>
      <c r="F369" s="18" t="s">
        <v>165</v>
      </c>
      <c r="G369" s="7" t="n">
        <v>75</v>
      </c>
      <c r="H369" s="22" t="n">
        <v>3.8</v>
      </c>
      <c r="I369" s="7" t="s">
        <v>329</v>
      </c>
      <c r="J369" s="7" t="s">
        <v>138</v>
      </c>
      <c r="K369" s="7" t="s">
        <v>139</v>
      </c>
      <c r="L369" s="7"/>
      <c r="M369" s="7" t="n">
        <v>0</v>
      </c>
      <c r="N369" s="7"/>
      <c r="O369" s="7"/>
      <c r="P369" s="7" t="s">
        <v>140</v>
      </c>
    </row>
    <row r="370" customFormat="false" ht="23.85" hidden="false" customHeight="false" outlineLevel="0" collapsed="false">
      <c r="A370" s="7" t="n">
        <v>31</v>
      </c>
      <c r="B370" s="21" t="n">
        <v>46521</v>
      </c>
      <c r="C370" s="7" t="s">
        <v>164</v>
      </c>
      <c r="D370" s="7" t="s">
        <v>112</v>
      </c>
      <c r="E370" s="23" t="s">
        <v>148</v>
      </c>
      <c r="F370" s="23" t="s">
        <v>383</v>
      </c>
      <c r="G370" s="7" t="n">
        <v>25</v>
      </c>
      <c r="H370" s="22"/>
      <c r="I370" s="7" t="s">
        <v>384</v>
      </c>
      <c r="J370" s="7" t="s">
        <v>151</v>
      </c>
      <c r="K370" s="7" t="s">
        <v>152</v>
      </c>
      <c r="L370" s="7"/>
      <c r="M370" s="7" t="n">
        <v>0</v>
      </c>
      <c r="N370" s="7"/>
      <c r="O370" s="7"/>
      <c r="P370" s="7" t="s">
        <v>153</v>
      </c>
    </row>
    <row r="371" customFormat="false" ht="35.05" hidden="false" customHeight="false" outlineLevel="0" collapsed="false">
      <c r="A371" s="7" t="n">
        <v>31</v>
      </c>
      <c r="B371" s="21" t="n">
        <v>46522</v>
      </c>
      <c r="C371" s="7" t="s">
        <v>167</v>
      </c>
      <c r="D371" s="7" t="s">
        <v>112</v>
      </c>
      <c r="E371" s="14" t="s">
        <v>40</v>
      </c>
      <c r="F371" s="14" t="s">
        <v>168</v>
      </c>
      <c r="G371" s="7" t="n">
        <v>270</v>
      </c>
      <c r="H371" s="22" t="n">
        <v>135</v>
      </c>
      <c r="I371" s="7" t="s">
        <v>417</v>
      </c>
      <c r="J371" s="7" t="s">
        <v>290</v>
      </c>
      <c r="K371" s="7" t="s">
        <v>139</v>
      </c>
      <c r="L371" s="7" t="s">
        <v>370</v>
      </c>
      <c r="M371" s="7" t="n">
        <v>0</v>
      </c>
      <c r="N371" s="7"/>
      <c r="O371" s="7"/>
      <c r="P371" s="7" t="s">
        <v>147</v>
      </c>
    </row>
    <row r="372" customFormat="false" ht="35.05" hidden="false" customHeight="false" outlineLevel="0" collapsed="false">
      <c r="A372" s="7" t="n">
        <v>31</v>
      </c>
      <c r="B372" s="21" t="n">
        <v>46522</v>
      </c>
      <c r="C372" s="7" t="s">
        <v>167</v>
      </c>
      <c r="D372" s="7" t="s">
        <v>112</v>
      </c>
      <c r="E372" s="24" t="s">
        <v>184</v>
      </c>
      <c r="F372" s="24" t="s">
        <v>243</v>
      </c>
      <c r="G372" s="7" t="n">
        <v>30</v>
      </c>
      <c r="H372" s="22" t="n">
        <v>5</v>
      </c>
      <c r="I372" s="7" t="s">
        <v>418</v>
      </c>
      <c r="J372" s="7" t="s">
        <v>231</v>
      </c>
      <c r="K372" s="7" t="s">
        <v>245</v>
      </c>
      <c r="L372" s="7" t="s">
        <v>146</v>
      </c>
      <c r="M372" s="7" t="n">
        <v>0</v>
      </c>
      <c r="N372" s="7"/>
      <c r="O372" s="7"/>
      <c r="P372" s="7" t="s">
        <v>246</v>
      </c>
    </row>
    <row r="373" customFormat="false" ht="35.05" hidden="false" customHeight="false" outlineLevel="0" collapsed="false">
      <c r="A373" s="7" t="n">
        <v>31</v>
      </c>
      <c r="B373" s="21" t="n">
        <v>46523</v>
      </c>
      <c r="C373" s="7" t="s">
        <v>172</v>
      </c>
      <c r="D373" s="7" t="s">
        <v>112</v>
      </c>
      <c r="E373" s="18" t="s">
        <v>42</v>
      </c>
      <c r="F373" s="18" t="s">
        <v>312</v>
      </c>
      <c r="G373" s="7" t="n">
        <v>40</v>
      </c>
      <c r="H373" s="22" t="n">
        <v>1.8</v>
      </c>
      <c r="I373" s="7" t="s">
        <v>313</v>
      </c>
      <c r="J373" s="7" t="s">
        <v>314</v>
      </c>
      <c r="K373" s="7" t="s">
        <v>139</v>
      </c>
      <c r="L373" s="7"/>
      <c r="M373" s="7" t="n">
        <v>4</v>
      </c>
      <c r="N373" s="7"/>
      <c r="O373" s="7"/>
      <c r="P373" s="7" t="s">
        <v>262</v>
      </c>
    </row>
    <row r="374" customFormat="false" ht="35.05" hidden="false" customHeight="false" outlineLevel="0" collapsed="false">
      <c r="A374" s="7" t="n">
        <v>31</v>
      </c>
      <c r="B374" s="21" t="n">
        <v>46523</v>
      </c>
      <c r="C374" s="7" t="s">
        <v>172</v>
      </c>
      <c r="D374" s="7" t="s">
        <v>112</v>
      </c>
      <c r="E374" s="24" t="s">
        <v>184</v>
      </c>
      <c r="F374" s="24" t="s">
        <v>247</v>
      </c>
      <c r="G374" s="7" t="n">
        <v>125</v>
      </c>
      <c r="H374" s="22" t="n">
        <v>20.8</v>
      </c>
      <c r="I374" s="7" t="s">
        <v>419</v>
      </c>
      <c r="J374" s="7" t="s">
        <v>231</v>
      </c>
      <c r="K374" s="7" t="s">
        <v>139</v>
      </c>
      <c r="L374" s="7" t="s">
        <v>303</v>
      </c>
      <c r="M374" s="7" t="n">
        <v>0</v>
      </c>
      <c r="N374" s="7"/>
      <c r="O374" s="7"/>
      <c r="P374" s="7" t="s">
        <v>147</v>
      </c>
    </row>
    <row r="375" customFormat="false" ht="23.85" hidden="false" customHeight="false" outlineLevel="0" collapsed="false">
      <c r="A375" s="7" t="n">
        <v>32</v>
      </c>
      <c r="B375" s="21" t="n">
        <v>46524</v>
      </c>
      <c r="C375" s="7" t="s">
        <v>135</v>
      </c>
      <c r="D375" s="7" t="s">
        <v>112</v>
      </c>
      <c r="E375" s="14" t="s">
        <v>40</v>
      </c>
      <c r="F375" s="14" t="s">
        <v>173</v>
      </c>
      <c r="G375" s="7" t="n">
        <v>45</v>
      </c>
      <c r="H375" s="22" t="n">
        <v>20</v>
      </c>
      <c r="I375" s="7" t="s">
        <v>304</v>
      </c>
      <c r="J375" s="7" t="s">
        <v>175</v>
      </c>
      <c r="K375" s="7" t="s">
        <v>176</v>
      </c>
      <c r="L375" s="7" t="s">
        <v>146</v>
      </c>
      <c r="M375" s="7" t="n">
        <v>0</v>
      </c>
      <c r="N375" s="7"/>
      <c r="O375" s="7"/>
      <c r="P375" s="7" t="s">
        <v>147</v>
      </c>
    </row>
    <row r="376" customFormat="false" ht="23.85" hidden="false" customHeight="false" outlineLevel="0" collapsed="false">
      <c r="A376" s="7" t="n">
        <v>32</v>
      </c>
      <c r="B376" s="21" t="n">
        <v>46524</v>
      </c>
      <c r="C376" s="7" t="s">
        <v>135</v>
      </c>
      <c r="D376" s="7" t="s">
        <v>112</v>
      </c>
      <c r="E376" s="24" t="s">
        <v>184</v>
      </c>
      <c r="F376" s="24" t="s">
        <v>229</v>
      </c>
      <c r="G376" s="7" t="n">
        <v>40</v>
      </c>
      <c r="H376" s="22" t="n">
        <v>6.7</v>
      </c>
      <c r="I376" s="7" t="s">
        <v>381</v>
      </c>
      <c r="J376" s="7" t="s">
        <v>231</v>
      </c>
      <c r="K376" s="7" t="s">
        <v>139</v>
      </c>
      <c r="L376" s="7" t="s">
        <v>146</v>
      </c>
      <c r="M376" s="7" t="n">
        <v>0</v>
      </c>
      <c r="N376" s="7"/>
      <c r="O376" s="7"/>
      <c r="P376" s="7" t="s">
        <v>153</v>
      </c>
    </row>
    <row r="377" customFormat="false" ht="35.05" hidden="false" customHeight="false" outlineLevel="0" collapsed="false">
      <c r="A377" s="7" t="n">
        <v>32</v>
      </c>
      <c r="B377" s="21" t="n">
        <v>46525</v>
      </c>
      <c r="C377" s="7" t="s">
        <v>141</v>
      </c>
      <c r="D377" s="7" t="s">
        <v>112</v>
      </c>
      <c r="E377" s="14" t="s">
        <v>40</v>
      </c>
      <c r="F377" s="14" t="s">
        <v>255</v>
      </c>
      <c r="G377" s="7" t="n">
        <v>75</v>
      </c>
      <c r="H377" s="22" t="n">
        <v>38</v>
      </c>
      <c r="I377" s="7" t="s">
        <v>420</v>
      </c>
      <c r="J377" s="7" t="s">
        <v>378</v>
      </c>
      <c r="K377" s="7" t="s">
        <v>152</v>
      </c>
      <c r="L377" s="7" t="s">
        <v>240</v>
      </c>
      <c r="M377" s="7" t="n">
        <v>36</v>
      </c>
      <c r="N377" s="7"/>
      <c r="O377" s="7"/>
      <c r="P377" s="7" t="s">
        <v>147</v>
      </c>
    </row>
    <row r="378" customFormat="false" ht="23.85" hidden="false" customHeight="false" outlineLevel="0" collapsed="false">
      <c r="A378" s="7" t="n">
        <v>32</v>
      </c>
      <c r="B378" s="21" t="n">
        <v>46525</v>
      </c>
      <c r="C378" s="7" t="s">
        <v>141</v>
      </c>
      <c r="D378" s="7" t="s">
        <v>112</v>
      </c>
      <c r="E378" s="23" t="s">
        <v>148</v>
      </c>
      <c r="F378" s="23" t="s">
        <v>343</v>
      </c>
      <c r="G378" s="7" t="n">
        <v>30</v>
      </c>
      <c r="H378" s="22"/>
      <c r="I378" s="7" t="s">
        <v>379</v>
      </c>
      <c r="J378" s="7" t="s">
        <v>151</v>
      </c>
      <c r="K378" s="7" t="s">
        <v>152</v>
      </c>
      <c r="L378" s="7"/>
      <c r="M378" s="7" t="n">
        <v>0</v>
      </c>
      <c r="N378" s="7"/>
      <c r="O378" s="7"/>
      <c r="P378" s="7" t="s">
        <v>153</v>
      </c>
    </row>
    <row r="379" customFormat="false" ht="23.85" hidden="false" customHeight="false" outlineLevel="0" collapsed="false">
      <c r="A379" s="7" t="n">
        <v>32</v>
      </c>
      <c r="B379" s="21" t="n">
        <v>46526</v>
      </c>
      <c r="C379" s="7" t="s">
        <v>154</v>
      </c>
      <c r="D379" s="7" t="s">
        <v>112</v>
      </c>
      <c r="E379" s="18" t="s">
        <v>42</v>
      </c>
      <c r="F379" s="18" t="s">
        <v>155</v>
      </c>
      <c r="G379" s="7" t="n">
        <v>65</v>
      </c>
      <c r="H379" s="22" t="n">
        <v>3.1</v>
      </c>
      <c r="I379" s="7" t="s">
        <v>414</v>
      </c>
      <c r="J379" s="7" t="s">
        <v>157</v>
      </c>
      <c r="K379" s="7" t="s">
        <v>152</v>
      </c>
      <c r="L379" s="7"/>
      <c r="M379" s="7" t="n">
        <v>33</v>
      </c>
      <c r="N379" s="7"/>
      <c r="O379" s="7"/>
      <c r="P379" s="7" t="s">
        <v>140</v>
      </c>
    </row>
    <row r="380" customFormat="false" ht="35.05" hidden="false" customHeight="false" outlineLevel="0" collapsed="false">
      <c r="A380" s="7" t="n">
        <v>32</v>
      </c>
      <c r="B380" s="21" t="n">
        <v>46526</v>
      </c>
      <c r="C380" s="7" t="s">
        <v>154</v>
      </c>
      <c r="D380" s="7" t="s">
        <v>112</v>
      </c>
      <c r="E380" s="24" t="s">
        <v>184</v>
      </c>
      <c r="F380" s="24" t="s">
        <v>296</v>
      </c>
      <c r="G380" s="7" t="n">
        <v>45</v>
      </c>
      <c r="H380" s="22" t="n">
        <v>7.5</v>
      </c>
      <c r="I380" s="7" t="s">
        <v>327</v>
      </c>
      <c r="J380" s="7" t="s">
        <v>298</v>
      </c>
      <c r="K380" s="7" t="s">
        <v>299</v>
      </c>
      <c r="L380" s="7" t="s">
        <v>146</v>
      </c>
      <c r="M380" s="7" t="n">
        <v>24</v>
      </c>
      <c r="N380" s="7"/>
      <c r="O380" s="7"/>
      <c r="P380" s="7" t="s">
        <v>147</v>
      </c>
    </row>
    <row r="381" customFormat="false" ht="35.05" hidden="false" customHeight="false" outlineLevel="0" collapsed="false">
      <c r="A381" s="7" t="n">
        <v>32</v>
      </c>
      <c r="B381" s="21" t="n">
        <v>46527</v>
      </c>
      <c r="C381" s="7" t="s">
        <v>158</v>
      </c>
      <c r="D381" s="7" t="s">
        <v>112</v>
      </c>
      <c r="E381" s="14" t="s">
        <v>40</v>
      </c>
      <c r="F381" s="14" t="s">
        <v>415</v>
      </c>
      <c r="G381" s="7" t="n">
        <v>75</v>
      </c>
      <c r="H381" s="22" t="n">
        <v>38</v>
      </c>
      <c r="I381" s="7" t="s">
        <v>416</v>
      </c>
      <c r="J381" s="7" t="s">
        <v>161</v>
      </c>
      <c r="K381" s="7" t="s">
        <v>139</v>
      </c>
      <c r="L381" s="7" t="s">
        <v>240</v>
      </c>
      <c r="M381" s="7" t="n">
        <v>0</v>
      </c>
      <c r="N381" s="7"/>
      <c r="O381" s="7"/>
      <c r="P381" s="7" t="s">
        <v>147</v>
      </c>
    </row>
    <row r="382" customFormat="false" ht="23.85" hidden="false" customHeight="false" outlineLevel="0" collapsed="false">
      <c r="A382" s="7" t="n">
        <v>32</v>
      </c>
      <c r="B382" s="21" t="n">
        <v>46527</v>
      </c>
      <c r="C382" s="7" t="s">
        <v>158</v>
      </c>
      <c r="D382" s="7" t="s">
        <v>112</v>
      </c>
      <c r="E382" s="24" t="s">
        <v>184</v>
      </c>
      <c r="F382" s="24" t="s">
        <v>259</v>
      </c>
      <c r="G382" s="7" t="n">
        <v>40</v>
      </c>
      <c r="H382" s="22" t="n">
        <v>6.7</v>
      </c>
      <c r="I382" s="7" t="s">
        <v>334</v>
      </c>
      <c r="J382" s="7" t="s">
        <v>231</v>
      </c>
      <c r="K382" s="7" t="s">
        <v>139</v>
      </c>
      <c r="L382" s="7" t="s">
        <v>146</v>
      </c>
      <c r="M382" s="7" t="n">
        <v>2</v>
      </c>
      <c r="N382" s="7"/>
      <c r="O382" s="7"/>
      <c r="P382" s="7" t="s">
        <v>153</v>
      </c>
    </row>
    <row r="383" customFormat="false" ht="23.85" hidden="false" customHeight="false" outlineLevel="0" collapsed="false">
      <c r="A383" s="7" t="n">
        <v>32</v>
      </c>
      <c r="B383" s="21" t="n">
        <v>46528</v>
      </c>
      <c r="C383" s="7" t="s">
        <v>164</v>
      </c>
      <c r="D383" s="7" t="s">
        <v>112</v>
      </c>
      <c r="E383" s="18" t="s">
        <v>42</v>
      </c>
      <c r="F383" s="18" t="s">
        <v>421</v>
      </c>
      <c r="G383" s="7" t="n">
        <v>95</v>
      </c>
      <c r="H383" s="22" t="n">
        <v>4.4</v>
      </c>
      <c r="I383" s="7" t="s">
        <v>422</v>
      </c>
      <c r="J383" s="7" t="s">
        <v>138</v>
      </c>
      <c r="K383" s="7" t="s">
        <v>245</v>
      </c>
      <c r="L383" s="7"/>
      <c r="M383" s="7" t="n">
        <v>0</v>
      </c>
      <c r="N383" s="7"/>
      <c r="O383" s="7"/>
      <c r="P383" s="7" t="s">
        <v>140</v>
      </c>
    </row>
    <row r="384" customFormat="false" ht="23.85" hidden="false" customHeight="false" outlineLevel="0" collapsed="false">
      <c r="A384" s="7" t="n">
        <v>32</v>
      </c>
      <c r="B384" s="21" t="n">
        <v>46528</v>
      </c>
      <c r="C384" s="7" t="s">
        <v>164</v>
      </c>
      <c r="D384" s="7" t="s">
        <v>112</v>
      </c>
      <c r="E384" s="23" t="s">
        <v>148</v>
      </c>
      <c r="F384" s="23" t="s">
        <v>383</v>
      </c>
      <c r="G384" s="7" t="n">
        <v>20</v>
      </c>
      <c r="H384" s="22"/>
      <c r="I384" s="7" t="s">
        <v>384</v>
      </c>
      <c r="J384" s="7" t="s">
        <v>151</v>
      </c>
      <c r="K384" s="7" t="s">
        <v>152</v>
      </c>
      <c r="L384" s="7"/>
      <c r="M384" s="7" t="n">
        <v>0</v>
      </c>
      <c r="N384" s="7"/>
      <c r="O384" s="7"/>
      <c r="P384" s="7" t="s">
        <v>153</v>
      </c>
    </row>
    <row r="385" customFormat="false" ht="35.05" hidden="false" customHeight="false" outlineLevel="0" collapsed="false">
      <c r="A385" s="7" t="n">
        <v>32</v>
      </c>
      <c r="B385" s="21" t="n">
        <v>46529</v>
      </c>
      <c r="C385" s="7" t="s">
        <v>167</v>
      </c>
      <c r="D385" s="7" t="s">
        <v>112</v>
      </c>
      <c r="E385" s="14" t="s">
        <v>40</v>
      </c>
      <c r="F385" s="14" t="s">
        <v>168</v>
      </c>
      <c r="G385" s="7" t="n">
        <v>315</v>
      </c>
      <c r="H385" s="22" t="n">
        <v>158</v>
      </c>
      <c r="I385" s="7" t="s">
        <v>423</v>
      </c>
      <c r="J385" s="7" t="s">
        <v>290</v>
      </c>
      <c r="K385" s="7" t="s">
        <v>139</v>
      </c>
      <c r="L385" s="7" t="s">
        <v>370</v>
      </c>
      <c r="M385" s="7" t="n">
        <v>0</v>
      </c>
      <c r="N385" s="7"/>
      <c r="O385" s="7"/>
      <c r="P385" s="7" t="s">
        <v>147</v>
      </c>
    </row>
    <row r="386" customFormat="false" ht="35.05" hidden="false" customHeight="false" outlineLevel="0" collapsed="false">
      <c r="A386" s="7" t="n">
        <v>32</v>
      </c>
      <c r="B386" s="21" t="n">
        <v>46529</v>
      </c>
      <c r="C386" s="7" t="s">
        <v>167</v>
      </c>
      <c r="D386" s="7" t="s">
        <v>112</v>
      </c>
      <c r="E386" s="24" t="s">
        <v>184</v>
      </c>
      <c r="F386" s="24" t="s">
        <v>243</v>
      </c>
      <c r="G386" s="7" t="n">
        <v>45</v>
      </c>
      <c r="H386" s="22" t="n">
        <v>7.5</v>
      </c>
      <c r="I386" s="7" t="s">
        <v>424</v>
      </c>
      <c r="J386" s="7" t="s">
        <v>231</v>
      </c>
      <c r="K386" s="7" t="s">
        <v>245</v>
      </c>
      <c r="L386" s="7" t="s">
        <v>146</v>
      </c>
      <c r="M386" s="7" t="n">
        <v>0</v>
      </c>
      <c r="N386" s="7"/>
      <c r="O386" s="7"/>
      <c r="P386" s="7" t="s">
        <v>246</v>
      </c>
    </row>
    <row r="387" customFormat="false" ht="35.05" hidden="false" customHeight="false" outlineLevel="0" collapsed="false">
      <c r="A387" s="7" t="n">
        <v>32</v>
      </c>
      <c r="B387" s="21" t="n">
        <v>46530</v>
      </c>
      <c r="C387" s="7" t="s">
        <v>172</v>
      </c>
      <c r="D387" s="7" t="s">
        <v>112</v>
      </c>
      <c r="E387" s="18" t="s">
        <v>42</v>
      </c>
      <c r="F387" s="18" t="s">
        <v>312</v>
      </c>
      <c r="G387" s="7" t="n">
        <v>45</v>
      </c>
      <c r="H387" s="22" t="n">
        <v>2</v>
      </c>
      <c r="I387" s="7" t="s">
        <v>313</v>
      </c>
      <c r="J387" s="7" t="s">
        <v>314</v>
      </c>
      <c r="K387" s="7" t="s">
        <v>139</v>
      </c>
      <c r="L387" s="7"/>
      <c r="M387" s="7" t="n">
        <v>4</v>
      </c>
      <c r="N387" s="7"/>
      <c r="O387" s="7"/>
      <c r="P387" s="7" t="s">
        <v>262</v>
      </c>
    </row>
    <row r="388" customFormat="false" ht="35.05" hidden="false" customHeight="false" outlineLevel="0" collapsed="false">
      <c r="A388" s="7" t="n">
        <v>32</v>
      </c>
      <c r="B388" s="21" t="n">
        <v>46530</v>
      </c>
      <c r="C388" s="7" t="s">
        <v>172</v>
      </c>
      <c r="D388" s="7" t="s">
        <v>112</v>
      </c>
      <c r="E388" s="24" t="s">
        <v>184</v>
      </c>
      <c r="F388" s="24" t="s">
        <v>247</v>
      </c>
      <c r="G388" s="7" t="n">
        <v>120</v>
      </c>
      <c r="H388" s="22" t="n">
        <v>20</v>
      </c>
      <c r="I388" s="7" t="s">
        <v>425</v>
      </c>
      <c r="J388" s="7" t="s">
        <v>231</v>
      </c>
      <c r="K388" s="7" t="s">
        <v>139</v>
      </c>
      <c r="L388" s="7" t="s">
        <v>303</v>
      </c>
      <c r="M388" s="7" t="n">
        <v>0</v>
      </c>
      <c r="N388" s="7"/>
      <c r="O388" s="7"/>
      <c r="P388" s="7" t="s">
        <v>147</v>
      </c>
    </row>
    <row r="389" customFormat="false" ht="23.85" hidden="false" customHeight="false" outlineLevel="0" collapsed="false">
      <c r="A389" s="7" t="n">
        <v>33</v>
      </c>
      <c r="B389" s="21" t="n">
        <v>46531</v>
      </c>
      <c r="C389" s="7" t="s">
        <v>135</v>
      </c>
      <c r="D389" s="7" t="s">
        <v>112</v>
      </c>
      <c r="E389" s="14" t="s">
        <v>40</v>
      </c>
      <c r="F389" s="14" t="s">
        <v>173</v>
      </c>
      <c r="G389" s="7" t="n">
        <v>45</v>
      </c>
      <c r="H389" s="22" t="n">
        <v>20</v>
      </c>
      <c r="I389" s="7" t="s">
        <v>304</v>
      </c>
      <c r="J389" s="7" t="s">
        <v>175</v>
      </c>
      <c r="K389" s="7" t="s">
        <v>176</v>
      </c>
      <c r="L389" s="7" t="s">
        <v>146</v>
      </c>
      <c r="M389" s="7" t="n">
        <v>0</v>
      </c>
      <c r="N389" s="7"/>
      <c r="O389" s="7"/>
      <c r="P389" s="7" t="s">
        <v>147</v>
      </c>
    </row>
    <row r="390" customFormat="false" ht="23.85" hidden="false" customHeight="false" outlineLevel="0" collapsed="false">
      <c r="A390" s="7" t="n">
        <v>33</v>
      </c>
      <c r="B390" s="21" t="n">
        <v>46531</v>
      </c>
      <c r="C390" s="7" t="s">
        <v>135</v>
      </c>
      <c r="D390" s="7" t="s">
        <v>112</v>
      </c>
      <c r="E390" s="24" t="s">
        <v>184</v>
      </c>
      <c r="F390" s="24" t="s">
        <v>259</v>
      </c>
      <c r="G390" s="7" t="n">
        <v>40</v>
      </c>
      <c r="H390" s="22" t="n">
        <v>6.7</v>
      </c>
      <c r="I390" s="7" t="s">
        <v>334</v>
      </c>
      <c r="J390" s="7" t="s">
        <v>231</v>
      </c>
      <c r="K390" s="7" t="s">
        <v>139</v>
      </c>
      <c r="L390" s="7" t="s">
        <v>146</v>
      </c>
      <c r="M390" s="7" t="n">
        <v>2</v>
      </c>
      <c r="N390" s="7"/>
      <c r="O390" s="7"/>
      <c r="P390" s="7" t="s">
        <v>153</v>
      </c>
    </row>
    <row r="391" customFormat="false" ht="35.05" hidden="false" customHeight="false" outlineLevel="0" collapsed="false">
      <c r="A391" s="7" t="n">
        <v>33</v>
      </c>
      <c r="B391" s="21" t="n">
        <v>46532</v>
      </c>
      <c r="C391" s="7" t="s">
        <v>141</v>
      </c>
      <c r="D391" s="7" t="s">
        <v>112</v>
      </c>
      <c r="E391" s="14" t="s">
        <v>40</v>
      </c>
      <c r="F391" s="14" t="s">
        <v>255</v>
      </c>
      <c r="G391" s="7" t="n">
        <v>70</v>
      </c>
      <c r="H391" s="22" t="n">
        <v>35</v>
      </c>
      <c r="I391" s="7" t="s">
        <v>426</v>
      </c>
      <c r="J391" s="7" t="s">
        <v>427</v>
      </c>
      <c r="K391" s="7" t="s">
        <v>152</v>
      </c>
      <c r="L391" s="7" t="s">
        <v>146</v>
      </c>
      <c r="M391" s="7" t="n">
        <v>24</v>
      </c>
      <c r="N391" s="7"/>
      <c r="O391" s="7"/>
      <c r="P391" s="7" t="s">
        <v>147</v>
      </c>
    </row>
    <row r="392" customFormat="false" ht="23.85" hidden="false" customHeight="false" outlineLevel="0" collapsed="false">
      <c r="A392" s="7" t="n">
        <v>33</v>
      </c>
      <c r="B392" s="21" t="n">
        <v>46532</v>
      </c>
      <c r="C392" s="7" t="s">
        <v>141</v>
      </c>
      <c r="D392" s="7" t="s">
        <v>112</v>
      </c>
      <c r="E392" s="23" t="s">
        <v>148</v>
      </c>
      <c r="F392" s="23" t="s">
        <v>343</v>
      </c>
      <c r="G392" s="7" t="n">
        <v>25</v>
      </c>
      <c r="H392" s="22"/>
      <c r="I392" s="7" t="s">
        <v>379</v>
      </c>
      <c r="J392" s="7" t="s">
        <v>151</v>
      </c>
      <c r="K392" s="7" t="s">
        <v>152</v>
      </c>
      <c r="L392" s="7"/>
      <c r="M392" s="7" t="n">
        <v>0</v>
      </c>
      <c r="N392" s="7"/>
      <c r="O392" s="7"/>
      <c r="P392" s="7" t="s">
        <v>153</v>
      </c>
    </row>
    <row r="393" customFormat="false" ht="23.85" hidden="false" customHeight="false" outlineLevel="0" collapsed="false">
      <c r="A393" s="7" t="n">
        <v>33</v>
      </c>
      <c r="B393" s="21" t="n">
        <v>46533</v>
      </c>
      <c r="C393" s="7" t="s">
        <v>154</v>
      </c>
      <c r="D393" s="7" t="s">
        <v>112</v>
      </c>
      <c r="E393" s="18" t="s">
        <v>42</v>
      </c>
      <c r="F393" s="18" t="s">
        <v>155</v>
      </c>
      <c r="G393" s="7" t="n">
        <v>60</v>
      </c>
      <c r="H393" s="22" t="n">
        <v>2.8</v>
      </c>
      <c r="I393" s="7" t="s">
        <v>380</v>
      </c>
      <c r="J393" s="7" t="s">
        <v>157</v>
      </c>
      <c r="K393" s="7" t="s">
        <v>152</v>
      </c>
      <c r="L393" s="7"/>
      <c r="M393" s="7" t="n">
        <v>29</v>
      </c>
      <c r="N393" s="7"/>
      <c r="O393" s="7"/>
      <c r="P393" s="7" t="s">
        <v>140</v>
      </c>
    </row>
    <row r="394" customFormat="false" ht="23.85" hidden="false" customHeight="false" outlineLevel="0" collapsed="false">
      <c r="A394" s="7" t="n">
        <v>33</v>
      </c>
      <c r="B394" s="21" t="n">
        <v>46533</v>
      </c>
      <c r="C394" s="7" t="s">
        <v>154</v>
      </c>
      <c r="D394" s="7" t="s">
        <v>112</v>
      </c>
      <c r="E394" s="24" t="s">
        <v>184</v>
      </c>
      <c r="F394" s="24" t="s">
        <v>229</v>
      </c>
      <c r="G394" s="7" t="n">
        <v>40</v>
      </c>
      <c r="H394" s="22" t="n">
        <v>6.7</v>
      </c>
      <c r="I394" s="7" t="s">
        <v>381</v>
      </c>
      <c r="J394" s="7" t="s">
        <v>231</v>
      </c>
      <c r="K394" s="7" t="s">
        <v>139</v>
      </c>
      <c r="L394" s="7" t="s">
        <v>146</v>
      </c>
      <c r="M394" s="7" t="n">
        <v>0</v>
      </c>
      <c r="N394" s="7"/>
      <c r="O394" s="7"/>
      <c r="P394" s="7" t="s">
        <v>147</v>
      </c>
    </row>
    <row r="395" customFormat="false" ht="35.05" hidden="false" customHeight="false" outlineLevel="0" collapsed="false">
      <c r="A395" s="7" t="n">
        <v>33</v>
      </c>
      <c r="B395" s="21" t="n">
        <v>46534</v>
      </c>
      <c r="C395" s="7" t="s">
        <v>158</v>
      </c>
      <c r="D395" s="7" t="s">
        <v>112</v>
      </c>
      <c r="E395" s="14" t="s">
        <v>40</v>
      </c>
      <c r="F395" s="14" t="s">
        <v>415</v>
      </c>
      <c r="G395" s="7" t="n">
        <v>70</v>
      </c>
      <c r="H395" s="22" t="n">
        <v>35</v>
      </c>
      <c r="I395" s="7" t="s">
        <v>428</v>
      </c>
      <c r="J395" s="7" t="s">
        <v>161</v>
      </c>
      <c r="K395" s="7" t="s">
        <v>139</v>
      </c>
      <c r="L395" s="7" t="s">
        <v>146</v>
      </c>
      <c r="M395" s="7" t="n">
        <v>0</v>
      </c>
      <c r="N395" s="7"/>
      <c r="O395" s="7"/>
      <c r="P395" s="7" t="s">
        <v>147</v>
      </c>
    </row>
    <row r="396" customFormat="false" ht="23.85" hidden="false" customHeight="false" outlineLevel="0" collapsed="false">
      <c r="A396" s="7" t="n">
        <v>33</v>
      </c>
      <c r="B396" s="21" t="n">
        <v>46534</v>
      </c>
      <c r="C396" s="7" t="s">
        <v>158</v>
      </c>
      <c r="D396" s="7" t="s">
        <v>112</v>
      </c>
      <c r="E396" s="24" t="s">
        <v>184</v>
      </c>
      <c r="F396" s="24" t="s">
        <v>229</v>
      </c>
      <c r="G396" s="7" t="n">
        <v>35</v>
      </c>
      <c r="H396" s="22" t="n">
        <v>5.8</v>
      </c>
      <c r="I396" s="7" t="s">
        <v>264</v>
      </c>
      <c r="J396" s="7" t="s">
        <v>231</v>
      </c>
      <c r="K396" s="7" t="s">
        <v>139</v>
      </c>
      <c r="L396" s="7" t="s">
        <v>146</v>
      </c>
      <c r="M396" s="7" t="n">
        <v>0</v>
      </c>
      <c r="N396" s="7"/>
      <c r="O396" s="7"/>
      <c r="P396" s="7" t="s">
        <v>153</v>
      </c>
    </row>
    <row r="397" customFormat="false" ht="23.85" hidden="false" customHeight="false" outlineLevel="0" collapsed="false">
      <c r="A397" s="7" t="n">
        <v>33</v>
      </c>
      <c r="B397" s="21" t="n">
        <v>46535</v>
      </c>
      <c r="C397" s="7" t="s">
        <v>164</v>
      </c>
      <c r="D397" s="7" t="s">
        <v>112</v>
      </c>
      <c r="E397" s="18" t="s">
        <v>42</v>
      </c>
      <c r="F397" s="18" t="s">
        <v>165</v>
      </c>
      <c r="G397" s="7" t="n">
        <v>70</v>
      </c>
      <c r="H397" s="22" t="n">
        <v>3.5</v>
      </c>
      <c r="I397" s="7" t="s">
        <v>309</v>
      </c>
      <c r="J397" s="7" t="s">
        <v>138</v>
      </c>
      <c r="K397" s="7" t="s">
        <v>139</v>
      </c>
      <c r="L397" s="7"/>
      <c r="M397" s="7" t="n">
        <v>0</v>
      </c>
      <c r="N397" s="7"/>
      <c r="O397" s="7"/>
      <c r="P397" s="7" t="s">
        <v>140</v>
      </c>
    </row>
    <row r="398" customFormat="false" ht="23.85" hidden="false" customHeight="false" outlineLevel="0" collapsed="false">
      <c r="A398" s="7" t="n">
        <v>33</v>
      </c>
      <c r="B398" s="21" t="n">
        <v>46535</v>
      </c>
      <c r="C398" s="7" t="s">
        <v>164</v>
      </c>
      <c r="D398" s="7" t="s">
        <v>112</v>
      </c>
      <c r="E398" s="23" t="s">
        <v>148</v>
      </c>
      <c r="F398" s="23" t="s">
        <v>383</v>
      </c>
      <c r="G398" s="7" t="n">
        <v>20</v>
      </c>
      <c r="H398" s="22"/>
      <c r="I398" s="7" t="s">
        <v>384</v>
      </c>
      <c r="J398" s="7" t="s">
        <v>151</v>
      </c>
      <c r="K398" s="7" t="s">
        <v>152</v>
      </c>
      <c r="L398" s="7"/>
      <c r="M398" s="7" t="n">
        <v>0</v>
      </c>
      <c r="N398" s="7"/>
      <c r="O398" s="7"/>
      <c r="P398" s="7" t="s">
        <v>153</v>
      </c>
    </row>
    <row r="399" customFormat="false" ht="35.05" hidden="false" customHeight="false" outlineLevel="0" collapsed="false">
      <c r="A399" s="7" t="n">
        <v>33</v>
      </c>
      <c r="B399" s="21" t="n">
        <v>46536</v>
      </c>
      <c r="C399" s="7" t="s">
        <v>167</v>
      </c>
      <c r="D399" s="7" t="s">
        <v>112</v>
      </c>
      <c r="E399" s="14" t="s">
        <v>40</v>
      </c>
      <c r="F399" s="14" t="s">
        <v>168</v>
      </c>
      <c r="G399" s="7" t="n">
        <v>240</v>
      </c>
      <c r="H399" s="22" t="n">
        <v>120</v>
      </c>
      <c r="I399" s="7" t="s">
        <v>429</v>
      </c>
      <c r="J399" s="7" t="s">
        <v>290</v>
      </c>
      <c r="K399" s="7" t="s">
        <v>139</v>
      </c>
      <c r="L399" s="7" t="s">
        <v>370</v>
      </c>
      <c r="M399" s="7" t="n">
        <v>0</v>
      </c>
      <c r="N399" s="7"/>
      <c r="O399" s="7"/>
      <c r="P399" s="7" t="s">
        <v>147</v>
      </c>
    </row>
    <row r="400" customFormat="false" ht="35.05" hidden="false" customHeight="false" outlineLevel="0" collapsed="false">
      <c r="A400" s="7" t="n">
        <v>33</v>
      </c>
      <c r="B400" s="21" t="n">
        <v>46536</v>
      </c>
      <c r="C400" s="7" t="s">
        <v>167</v>
      </c>
      <c r="D400" s="7" t="s">
        <v>112</v>
      </c>
      <c r="E400" s="24" t="s">
        <v>184</v>
      </c>
      <c r="F400" s="24" t="s">
        <v>243</v>
      </c>
      <c r="G400" s="7" t="n">
        <v>20</v>
      </c>
      <c r="H400" s="22" t="n">
        <v>3.3</v>
      </c>
      <c r="I400" s="7" t="s">
        <v>311</v>
      </c>
      <c r="J400" s="7" t="s">
        <v>231</v>
      </c>
      <c r="K400" s="7" t="s">
        <v>245</v>
      </c>
      <c r="L400" s="7" t="s">
        <v>146</v>
      </c>
      <c r="M400" s="7" t="n">
        <v>0</v>
      </c>
      <c r="N400" s="7"/>
      <c r="O400" s="7"/>
      <c r="P400" s="7" t="s">
        <v>246</v>
      </c>
    </row>
    <row r="401" customFormat="false" ht="35.05" hidden="false" customHeight="false" outlineLevel="0" collapsed="false">
      <c r="A401" s="7" t="n">
        <v>33</v>
      </c>
      <c r="B401" s="21" t="n">
        <v>46537</v>
      </c>
      <c r="C401" s="7" t="s">
        <v>172</v>
      </c>
      <c r="D401" s="7" t="s">
        <v>112</v>
      </c>
      <c r="E401" s="18" t="s">
        <v>42</v>
      </c>
      <c r="F401" s="18" t="s">
        <v>312</v>
      </c>
      <c r="G401" s="7" t="n">
        <v>40</v>
      </c>
      <c r="H401" s="22" t="n">
        <v>1.8</v>
      </c>
      <c r="I401" s="7" t="s">
        <v>313</v>
      </c>
      <c r="J401" s="7" t="s">
        <v>314</v>
      </c>
      <c r="K401" s="7" t="s">
        <v>139</v>
      </c>
      <c r="L401" s="7"/>
      <c r="M401" s="7" t="n">
        <v>4</v>
      </c>
      <c r="N401" s="7"/>
      <c r="O401" s="7"/>
      <c r="P401" s="7" t="s">
        <v>262</v>
      </c>
    </row>
    <row r="402" customFormat="false" ht="35.05" hidden="false" customHeight="false" outlineLevel="0" collapsed="false">
      <c r="A402" s="7" t="n">
        <v>33</v>
      </c>
      <c r="B402" s="21" t="n">
        <v>46537</v>
      </c>
      <c r="C402" s="7" t="s">
        <v>172</v>
      </c>
      <c r="D402" s="7" t="s">
        <v>112</v>
      </c>
      <c r="E402" s="24" t="s">
        <v>184</v>
      </c>
      <c r="F402" s="24" t="s">
        <v>247</v>
      </c>
      <c r="G402" s="7" t="n">
        <v>95</v>
      </c>
      <c r="H402" s="22" t="n">
        <v>15.8</v>
      </c>
      <c r="I402" s="7" t="s">
        <v>430</v>
      </c>
      <c r="J402" s="7" t="s">
        <v>231</v>
      </c>
      <c r="K402" s="7" t="s">
        <v>139</v>
      </c>
      <c r="L402" s="7" t="s">
        <v>303</v>
      </c>
      <c r="M402" s="7" t="n">
        <v>0</v>
      </c>
      <c r="N402" s="7"/>
      <c r="O402" s="7"/>
      <c r="P402" s="7" t="s">
        <v>147</v>
      </c>
    </row>
    <row r="403" customFormat="false" ht="23.85" hidden="false" customHeight="false" outlineLevel="0" collapsed="false">
      <c r="A403" s="7" t="n">
        <v>34</v>
      </c>
      <c r="B403" s="21" t="n">
        <v>46538</v>
      </c>
      <c r="C403" s="7" t="s">
        <v>135</v>
      </c>
      <c r="D403" s="7" t="s">
        <v>116</v>
      </c>
      <c r="E403" s="18" t="s">
        <v>42</v>
      </c>
      <c r="F403" s="18" t="s">
        <v>136</v>
      </c>
      <c r="G403" s="7" t="n">
        <v>45</v>
      </c>
      <c r="H403" s="22" t="n">
        <v>2.2</v>
      </c>
      <c r="I403" s="7" t="s">
        <v>407</v>
      </c>
      <c r="J403" s="7" t="s">
        <v>138</v>
      </c>
      <c r="K403" s="7" t="s">
        <v>139</v>
      </c>
      <c r="L403" s="7"/>
      <c r="M403" s="7" t="n">
        <v>0</v>
      </c>
      <c r="N403" s="7"/>
      <c r="O403" s="7"/>
      <c r="P403" s="7" t="s">
        <v>140</v>
      </c>
    </row>
    <row r="404" customFormat="false" ht="35.05" hidden="false" customHeight="false" outlineLevel="0" collapsed="false">
      <c r="A404" s="7" t="n">
        <v>34</v>
      </c>
      <c r="B404" s="21" t="n">
        <v>46539</v>
      </c>
      <c r="C404" s="7" t="s">
        <v>141</v>
      </c>
      <c r="D404" s="7" t="s">
        <v>116</v>
      </c>
      <c r="E404" s="14" t="s">
        <v>40</v>
      </c>
      <c r="F404" s="14" t="s">
        <v>255</v>
      </c>
      <c r="G404" s="7" t="n">
        <v>60</v>
      </c>
      <c r="H404" s="22" t="n">
        <v>30</v>
      </c>
      <c r="I404" s="7" t="s">
        <v>431</v>
      </c>
      <c r="J404" s="7" t="s">
        <v>432</v>
      </c>
      <c r="K404" s="7" t="s">
        <v>152</v>
      </c>
      <c r="L404" s="7" t="s">
        <v>146</v>
      </c>
      <c r="M404" s="7" t="n">
        <v>15</v>
      </c>
      <c r="N404" s="7"/>
      <c r="O404" s="7"/>
      <c r="P404" s="7" t="s">
        <v>147</v>
      </c>
    </row>
    <row r="405" customFormat="false" ht="23.85" hidden="false" customHeight="false" outlineLevel="0" collapsed="false">
      <c r="A405" s="7" t="n">
        <v>34</v>
      </c>
      <c r="B405" s="21" t="n">
        <v>46539</v>
      </c>
      <c r="C405" s="7" t="s">
        <v>141</v>
      </c>
      <c r="D405" s="7" t="s">
        <v>116</v>
      </c>
      <c r="E405" s="24" t="s">
        <v>184</v>
      </c>
      <c r="F405" s="24" t="s">
        <v>259</v>
      </c>
      <c r="G405" s="7" t="n">
        <v>35</v>
      </c>
      <c r="H405" s="22" t="n">
        <v>5.8</v>
      </c>
      <c r="I405" s="7" t="s">
        <v>272</v>
      </c>
      <c r="J405" s="7" t="s">
        <v>231</v>
      </c>
      <c r="K405" s="7" t="s">
        <v>139</v>
      </c>
      <c r="L405" s="7" t="s">
        <v>146</v>
      </c>
      <c r="M405" s="7" t="n">
        <v>2</v>
      </c>
      <c r="N405" s="7"/>
      <c r="O405" s="7"/>
      <c r="P405" s="7" t="s">
        <v>153</v>
      </c>
    </row>
    <row r="406" customFormat="false" ht="23.85" hidden="false" customHeight="false" outlineLevel="0" collapsed="false">
      <c r="A406" s="7" t="n">
        <v>34</v>
      </c>
      <c r="B406" s="21" t="n">
        <v>46539</v>
      </c>
      <c r="C406" s="7" t="s">
        <v>141</v>
      </c>
      <c r="D406" s="7" t="s">
        <v>116</v>
      </c>
      <c r="E406" s="23" t="s">
        <v>148</v>
      </c>
      <c r="F406" s="23" t="s">
        <v>343</v>
      </c>
      <c r="G406" s="7" t="n">
        <v>20</v>
      </c>
      <c r="H406" s="22"/>
      <c r="I406" s="7" t="s">
        <v>379</v>
      </c>
      <c r="J406" s="7" t="s">
        <v>151</v>
      </c>
      <c r="K406" s="7" t="s">
        <v>152</v>
      </c>
      <c r="L406" s="7"/>
      <c r="M406" s="7" t="n">
        <v>0</v>
      </c>
      <c r="N406" s="7"/>
      <c r="O406" s="7"/>
      <c r="P406" s="7" t="s">
        <v>213</v>
      </c>
    </row>
    <row r="407" customFormat="false" ht="23.85" hidden="false" customHeight="false" outlineLevel="0" collapsed="false">
      <c r="A407" s="7" t="n">
        <v>34</v>
      </c>
      <c r="B407" s="21" t="n">
        <v>46540</v>
      </c>
      <c r="C407" s="7" t="s">
        <v>154</v>
      </c>
      <c r="D407" s="7" t="s">
        <v>116</v>
      </c>
      <c r="E407" s="18" t="s">
        <v>42</v>
      </c>
      <c r="F407" s="18" t="s">
        <v>155</v>
      </c>
      <c r="G407" s="7" t="n">
        <v>50</v>
      </c>
      <c r="H407" s="22" t="n">
        <v>2.4</v>
      </c>
      <c r="I407" s="7" t="s">
        <v>349</v>
      </c>
      <c r="J407" s="7" t="s">
        <v>157</v>
      </c>
      <c r="K407" s="7" t="s">
        <v>152</v>
      </c>
      <c r="L407" s="7"/>
      <c r="M407" s="7" t="n">
        <v>23</v>
      </c>
      <c r="N407" s="7"/>
      <c r="O407" s="7"/>
      <c r="P407" s="7" t="s">
        <v>140</v>
      </c>
    </row>
    <row r="408" customFormat="false" ht="23.85" hidden="false" customHeight="false" outlineLevel="0" collapsed="false">
      <c r="A408" s="7" t="n">
        <v>34</v>
      </c>
      <c r="B408" s="21" t="n">
        <v>46540</v>
      </c>
      <c r="C408" s="7" t="s">
        <v>154</v>
      </c>
      <c r="D408" s="7" t="s">
        <v>116</v>
      </c>
      <c r="E408" s="24" t="s">
        <v>184</v>
      </c>
      <c r="F408" s="24" t="s">
        <v>229</v>
      </c>
      <c r="G408" s="7" t="n">
        <v>30</v>
      </c>
      <c r="H408" s="22" t="n">
        <v>5</v>
      </c>
      <c r="I408" s="7" t="s">
        <v>235</v>
      </c>
      <c r="J408" s="7" t="s">
        <v>231</v>
      </c>
      <c r="K408" s="7" t="s">
        <v>139</v>
      </c>
      <c r="L408" s="7" t="s">
        <v>146</v>
      </c>
      <c r="M408" s="7" t="n">
        <v>0</v>
      </c>
      <c r="N408" s="7"/>
      <c r="O408" s="7"/>
      <c r="P408" s="7" t="s">
        <v>147</v>
      </c>
    </row>
    <row r="409" customFormat="false" ht="35.05" hidden="false" customHeight="false" outlineLevel="0" collapsed="false">
      <c r="A409" s="7" t="n">
        <v>34</v>
      </c>
      <c r="B409" s="21" t="n">
        <v>46541</v>
      </c>
      <c r="C409" s="7" t="s">
        <v>158</v>
      </c>
      <c r="D409" s="7" t="s">
        <v>116</v>
      </c>
      <c r="E409" s="14" t="s">
        <v>40</v>
      </c>
      <c r="F409" s="14" t="s">
        <v>415</v>
      </c>
      <c r="G409" s="7" t="n">
        <v>60</v>
      </c>
      <c r="H409" s="22" t="n">
        <v>30</v>
      </c>
      <c r="I409" s="7" t="s">
        <v>433</v>
      </c>
      <c r="J409" s="7" t="s">
        <v>161</v>
      </c>
      <c r="K409" s="7" t="s">
        <v>139</v>
      </c>
      <c r="L409" s="7" t="s">
        <v>146</v>
      </c>
      <c r="M409" s="7" t="n">
        <v>0</v>
      </c>
      <c r="N409" s="7"/>
      <c r="O409" s="7"/>
      <c r="P409" s="7" t="s">
        <v>147</v>
      </c>
    </row>
    <row r="410" customFormat="false" ht="35.05" hidden="false" customHeight="false" outlineLevel="0" collapsed="false">
      <c r="A410" s="7" t="n">
        <v>34</v>
      </c>
      <c r="B410" s="21" t="n">
        <v>46542</v>
      </c>
      <c r="C410" s="7" t="s">
        <v>164</v>
      </c>
      <c r="D410" s="7" t="s">
        <v>116</v>
      </c>
      <c r="E410" s="18" t="s">
        <v>42</v>
      </c>
      <c r="F410" s="18" t="s">
        <v>312</v>
      </c>
      <c r="G410" s="7" t="n">
        <v>40</v>
      </c>
      <c r="H410" s="22" t="n">
        <v>1.8</v>
      </c>
      <c r="I410" s="7" t="s">
        <v>313</v>
      </c>
      <c r="J410" s="7" t="s">
        <v>314</v>
      </c>
      <c r="K410" s="7" t="s">
        <v>139</v>
      </c>
      <c r="L410" s="7"/>
      <c r="M410" s="7" t="n">
        <v>4</v>
      </c>
      <c r="N410" s="7"/>
      <c r="O410" s="7"/>
      <c r="P410" s="7" t="s">
        <v>140</v>
      </c>
    </row>
    <row r="411" customFormat="false" ht="35.05" hidden="false" customHeight="false" outlineLevel="0" collapsed="false">
      <c r="A411" s="7" t="n">
        <v>34</v>
      </c>
      <c r="B411" s="21" t="n">
        <v>46543</v>
      </c>
      <c r="C411" s="7" t="s">
        <v>167</v>
      </c>
      <c r="D411" s="7" t="s">
        <v>116</v>
      </c>
      <c r="E411" s="14" t="s">
        <v>40</v>
      </c>
      <c r="F411" s="14" t="s">
        <v>168</v>
      </c>
      <c r="G411" s="7" t="n">
        <v>150</v>
      </c>
      <c r="H411" s="22" t="n">
        <v>75</v>
      </c>
      <c r="I411" s="7" t="s">
        <v>434</v>
      </c>
      <c r="J411" s="7" t="s">
        <v>290</v>
      </c>
      <c r="K411" s="7" t="s">
        <v>139</v>
      </c>
      <c r="L411" s="7" t="s">
        <v>370</v>
      </c>
      <c r="M411" s="7" t="n">
        <v>0</v>
      </c>
      <c r="N411" s="7"/>
      <c r="O411" s="7"/>
      <c r="P411" s="7" t="s">
        <v>147</v>
      </c>
    </row>
    <row r="412" customFormat="false" ht="35.05" hidden="false" customHeight="false" outlineLevel="0" collapsed="false">
      <c r="A412" s="7" t="n">
        <v>34</v>
      </c>
      <c r="B412" s="21" t="n">
        <v>46543</v>
      </c>
      <c r="C412" s="7" t="s">
        <v>167</v>
      </c>
      <c r="D412" s="7" t="s">
        <v>116</v>
      </c>
      <c r="E412" s="24" t="s">
        <v>184</v>
      </c>
      <c r="F412" s="24" t="s">
        <v>243</v>
      </c>
      <c r="G412" s="7" t="n">
        <v>15</v>
      </c>
      <c r="H412" s="22" t="n">
        <v>2.5</v>
      </c>
      <c r="I412" s="7" t="s">
        <v>292</v>
      </c>
      <c r="J412" s="7" t="s">
        <v>231</v>
      </c>
      <c r="K412" s="7" t="s">
        <v>245</v>
      </c>
      <c r="L412" s="7" t="s">
        <v>146</v>
      </c>
      <c r="M412" s="7" t="n">
        <v>0</v>
      </c>
      <c r="N412" s="7"/>
      <c r="O412" s="7"/>
      <c r="P412" s="7" t="s">
        <v>246</v>
      </c>
    </row>
    <row r="413" customFormat="false" ht="23.85" hidden="false" customHeight="false" outlineLevel="0" collapsed="false">
      <c r="A413" s="7" t="n">
        <v>34</v>
      </c>
      <c r="B413" s="21" t="n">
        <v>46544</v>
      </c>
      <c r="C413" s="7" t="s">
        <v>172</v>
      </c>
      <c r="D413" s="7" t="s">
        <v>116</v>
      </c>
      <c r="E413" s="14" t="s">
        <v>40</v>
      </c>
      <c r="F413" s="14" t="s">
        <v>173</v>
      </c>
      <c r="G413" s="7" t="n">
        <v>30</v>
      </c>
      <c r="H413" s="22" t="n">
        <v>14</v>
      </c>
      <c r="I413" s="7" t="s">
        <v>268</v>
      </c>
      <c r="J413" s="7" t="s">
        <v>175</v>
      </c>
      <c r="K413" s="7" t="s">
        <v>176</v>
      </c>
      <c r="L413" s="7" t="s">
        <v>146</v>
      </c>
      <c r="M413" s="7" t="n">
        <v>0</v>
      </c>
      <c r="N413" s="7"/>
      <c r="O413" s="7"/>
      <c r="P413" s="7" t="s">
        <v>147</v>
      </c>
    </row>
    <row r="414" customFormat="false" ht="35.05" hidden="false" customHeight="false" outlineLevel="0" collapsed="false">
      <c r="A414" s="7" t="n">
        <v>34</v>
      </c>
      <c r="B414" s="21" t="n">
        <v>46544</v>
      </c>
      <c r="C414" s="7" t="s">
        <v>172</v>
      </c>
      <c r="D414" s="7" t="s">
        <v>116</v>
      </c>
      <c r="E414" s="24" t="s">
        <v>184</v>
      </c>
      <c r="F414" s="24" t="s">
        <v>247</v>
      </c>
      <c r="G414" s="7" t="n">
        <v>60</v>
      </c>
      <c r="H414" s="22" t="n">
        <v>10</v>
      </c>
      <c r="I414" s="7" t="s">
        <v>435</v>
      </c>
      <c r="J414" s="7" t="s">
        <v>231</v>
      </c>
      <c r="K414" s="7" t="s">
        <v>139</v>
      </c>
      <c r="L414" s="7" t="s">
        <v>249</v>
      </c>
      <c r="M414" s="7" t="n">
        <v>0</v>
      </c>
      <c r="N414" s="7"/>
      <c r="O414" s="7"/>
      <c r="P414" s="7" t="s">
        <v>147</v>
      </c>
    </row>
    <row r="415" customFormat="false" ht="23.85" hidden="false" customHeight="false" outlineLevel="0" collapsed="false">
      <c r="A415" s="7" t="n">
        <v>35</v>
      </c>
      <c r="B415" s="21" t="n">
        <v>46545</v>
      </c>
      <c r="C415" s="7" t="s">
        <v>135</v>
      </c>
      <c r="D415" s="7" t="s">
        <v>116</v>
      </c>
      <c r="E415" s="18" t="s">
        <v>42</v>
      </c>
      <c r="F415" s="18" t="s">
        <v>214</v>
      </c>
      <c r="G415" s="7" t="n">
        <v>35</v>
      </c>
      <c r="H415" s="22" t="n">
        <v>1.6</v>
      </c>
      <c r="I415" s="7" t="s">
        <v>436</v>
      </c>
      <c r="J415" s="7" t="s">
        <v>216</v>
      </c>
      <c r="K415" s="7" t="s">
        <v>217</v>
      </c>
      <c r="L415" s="7"/>
      <c r="M415" s="7" t="n">
        <v>0</v>
      </c>
      <c r="N415" s="7"/>
      <c r="O415" s="7"/>
      <c r="P415" s="7" t="s">
        <v>140</v>
      </c>
    </row>
    <row r="416" customFormat="false" ht="23.85" hidden="false" customHeight="false" outlineLevel="0" collapsed="false">
      <c r="A416" s="7" t="n">
        <v>35</v>
      </c>
      <c r="B416" s="21" t="n">
        <v>46545</v>
      </c>
      <c r="C416" s="7" t="s">
        <v>135</v>
      </c>
      <c r="D416" s="7" t="s">
        <v>116</v>
      </c>
      <c r="E416" s="24" t="s">
        <v>184</v>
      </c>
      <c r="F416" s="24" t="s">
        <v>259</v>
      </c>
      <c r="G416" s="7" t="n">
        <v>25</v>
      </c>
      <c r="H416" s="22" t="n">
        <v>4.2</v>
      </c>
      <c r="I416" s="7" t="s">
        <v>437</v>
      </c>
      <c r="J416" s="7" t="s">
        <v>231</v>
      </c>
      <c r="K416" s="7" t="s">
        <v>139</v>
      </c>
      <c r="L416" s="7" t="s">
        <v>146</v>
      </c>
      <c r="M416" s="7" t="n">
        <v>2</v>
      </c>
      <c r="N416" s="7"/>
      <c r="O416" s="7"/>
      <c r="P416" s="7" t="s">
        <v>147</v>
      </c>
    </row>
    <row r="417" customFormat="false" ht="23.85" hidden="false" customHeight="false" outlineLevel="0" collapsed="false">
      <c r="A417" s="7" t="n">
        <v>35</v>
      </c>
      <c r="B417" s="21" t="n">
        <v>46546</v>
      </c>
      <c r="C417" s="7" t="s">
        <v>141</v>
      </c>
      <c r="D417" s="7" t="s">
        <v>116</v>
      </c>
      <c r="E417" s="14" t="s">
        <v>40</v>
      </c>
      <c r="F417" s="14" t="s">
        <v>350</v>
      </c>
      <c r="G417" s="7" t="n">
        <v>60</v>
      </c>
      <c r="H417" s="22" t="n">
        <v>30</v>
      </c>
      <c r="I417" s="7" t="s">
        <v>438</v>
      </c>
      <c r="J417" s="7" t="s">
        <v>352</v>
      </c>
      <c r="K417" s="7" t="s">
        <v>353</v>
      </c>
      <c r="L417" s="7" t="s">
        <v>146</v>
      </c>
      <c r="M417" s="7" t="n">
        <v>5</v>
      </c>
      <c r="N417" s="7"/>
      <c r="O417" s="7"/>
      <c r="P417" s="7" t="s">
        <v>147</v>
      </c>
    </row>
    <row r="418" customFormat="false" ht="23.85" hidden="false" customHeight="false" outlineLevel="0" collapsed="false">
      <c r="A418" s="7" t="n">
        <v>35</v>
      </c>
      <c r="B418" s="21" t="n">
        <v>46547</v>
      </c>
      <c r="C418" s="7" t="s">
        <v>154</v>
      </c>
      <c r="D418" s="7" t="s">
        <v>116</v>
      </c>
      <c r="E418" s="18" t="s">
        <v>42</v>
      </c>
      <c r="F418" s="18" t="s">
        <v>155</v>
      </c>
      <c r="G418" s="7" t="n">
        <v>35</v>
      </c>
      <c r="H418" s="22" t="n">
        <v>1.6</v>
      </c>
      <c r="I418" s="7" t="s">
        <v>349</v>
      </c>
      <c r="J418" s="7" t="s">
        <v>157</v>
      </c>
      <c r="K418" s="7" t="s">
        <v>152</v>
      </c>
      <c r="L418" s="7"/>
      <c r="M418" s="7" t="n">
        <v>13</v>
      </c>
      <c r="N418" s="7"/>
      <c r="O418" s="7"/>
      <c r="P418" s="7" t="s">
        <v>140</v>
      </c>
    </row>
    <row r="419" customFormat="false" ht="23.85" hidden="false" customHeight="false" outlineLevel="0" collapsed="false">
      <c r="A419" s="7" t="n">
        <v>35</v>
      </c>
      <c r="B419" s="21" t="n">
        <v>46547</v>
      </c>
      <c r="C419" s="7" t="s">
        <v>154</v>
      </c>
      <c r="D419" s="7" t="s">
        <v>116</v>
      </c>
      <c r="E419" s="24" t="s">
        <v>184</v>
      </c>
      <c r="F419" s="24" t="s">
        <v>439</v>
      </c>
      <c r="G419" s="7" t="n">
        <v>20</v>
      </c>
      <c r="H419" s="22" t="n">
        <v>3.3</v>
      </c>
      <c r="I419" s="7" t="s">
        <v>440</v>
      </c>
      <c r="J419" s="7" t="s">
        <v>231</v>
      </c>
      <c r="K419" s="7" t="s">
        <v>441</v>
      </c>
      <c r="L419" s="7" t="s">
        <v>146</v>
      </c>
      <c r="M419" s="7" t="n">
        <v>1</v>
      </c>
      <c r="N419" s="7"/>
      <c r="O419" s="7"/>
      <c r="P419" s="7" t="s">
        <v>147</v>
      </c>
    </row>
    <row r="420" customFormat="false" ht="23.85" hidden="false" customHeight="false" outlineLevel="0" collapsed="false">
      <c r="A420" s="7" t="n">
        <v>35</v>
      </c>
      <c r="B420" s="21" t="n">
        <v>46548</v>
      </c>
      <c r="C420" s="7" t="s">
        <v>158</v>
      </c>
      <c r="D420" s="7" t="s">
        <v>116</v>
      </c>
      <c r="E420" s="14" t="s">
        <v>40</v>
      </c>
      <c r="F420" s="14" t="s">
        <v>350</v>
      </c>
      <c r="G420" s="7" t="n">
        <v>40</v>
      </c>
      <c r="H420" s="22" t="n">
        <v>20</v>
      </c>
      <c r="I420" s="7" t="s">
        <v>442</v>
      </c>
      <c r="J420" s="7" t="s">
        <v>352</v>
      </c>
      <c r="K420" s="7" t="s">
        <v>353</v>
      </c>
      <c r="L420" s="7" t="s">
        <v>146</v>
      </c>
      <c r="M420" s="7" t="n">
        <v>5</v>
      </c>
      <c r="N420" s="7"/>
      <c r="O420" s="7"/>
      <c r="P420" s="7" t="s">
        <v>147</v>
      </c>
    </row>
    <row r="421" customFormat="false" ht="23.85" hidden="false" customHeight="false" outlineLevel="0" collapsed="false">
      <c r="A421" s="7" t="n">
        <v>35</v>
      </c>
      <c r="B421" s="21" t="n">
        <v>46548</v>
      </c>
      <c r="C421" s="7" t="s">
        <v>158</v>
      </c>
      <c r="D421" s="7" t="s">
        <v>116</v>
      </c>
      <c r="E421" s="12" t="s">
        <v>181</v>
      </c>
      <c r="F421" s="12" t="s">
        <v>181</v>
      </c>
      <c r="G421" s="7" t="n">
        <v>0</v>
      </c>
      <c r="H421" s="22"/>
      <c r="I421" s="7" t="s">
        <v>443</v>
      </c>
      <c r="J421" s="7" t="s">
        <v>71</v>
      </c>
      <c r="K421" s="7" t="s">
        <v>71</v>
      </c>
      <c r="L421" s="7"/>
      <c r="M421" s="7" t="n">
        <v>0</v>
      </c>
      <c r="N421" s="7"/>
      <c r="O421" s="7"/>
      <c r="P421" s="7"/>
    </row>
    <row r="422" customFormat="false" ht="35.05" hidden="false" customHeight="false" outlineLevel="0" collapsed="false">
      <c r="A422" s="7" t="n">
        <v>35</v>
      </c>
      <c r="B422" s="21" t="n">
        <v>46549</v>
      </c>
      <c r="C422" s="7" t="s">
        <v>164</v>
      </c>
      <c r="D422" s="7" t="s">
        <v>116</v>
      </c>
      <c r="E422" s="18" t="s">
        <v>42</v>
      </c>
      <c r="F422" s="18" t="s">
        <v>312</v>
      </c>
      <c r="G422" s="7" t="n">
        <v>25</v>
      </c>
      <c r="H422" s="22" t="n">
        <v>1.1</v>
      </c>
      <c r="I422" s="7" t="s">
        <v>313</v>
      </c>
      <c r="J422" s="7" t="s">
        <v>314</v>
      </c>
      <c r="K422" s="7" t="s">
        <v>139</v>
      </c>
      <c r="L422" s="7"/>
      <c r="M422" s="7" t="n">
        <v>2</v>
      </c>
      <c r="N422" s="7"/>
      <c r="O422" s="7"/>
      <c r="P422" s="7" t="s">
        <v>140</v>
      </c>
    </row>
    <row r="423" customFormat="false" ht="15" hidden="false" customHeight="false" outlineLevel="0" collapsed="false">
      <c r="A423" s="7" t="n">
        <v>35</v>
      </c>
      <c r="B423" s="21" t="n">
        <v>46549</v>
      </c>
      <c r="C423" s="7" t="s">
        <v>164</v>
      </c>
      <c r="D423" s="7" t="s">
        <v>116</v>
      </c>
      <c r="E423" s="24" t="s">
        <v>184</v>
      </c>
      <c r="F423" s="24" t="s">
        <v>355</v>
      </c>
      <c r="G423" s="7" t="n">
        <v>15</v>
      </c>
      <c r="H423" s="22" t="n">
        <v>2.5</v>
      </c>
      <c r="I423" s="7" t="s">
        <v>444</v>
      </c>
      <c r="J423" s="7" t="s">
        <v>187</v>
      </c>
      <c r="K423" s="7" t="s">
        <v>217</v>
      </c>
      <c r="L423" s="7" t="s">
        <v>146</v>
      </c>
      <c r="M423" s="7" t="n">
        <v>0</v>
      </c>
      <c r="N423" s="7"/>
      <c r="O423" s="7"/>
      <c r="P423" s="7" t="s">
        <v>147</v>
      </c>
    </row>
    <row r="424" customFormat="false" ht="23.85" hidden="false" customHeight="false" outlineLevel="0" collapsed="false">
      <c r="A424" s="7" t="n">
        <v>35</v>
      </c>
      <c r="B424" s="21" t="n">
        <v>46550</v>
      </c>
      <c r="C424" s="7" t="s">
        <v>167</v>
      </c>
      <c r="D424" s="7" t="s">
        <v>116</v>
      </c>
      <c r="E424" s="14" t="s">
        <v>40</v>
      </c>
      <c r="F424" s="14" t="s">
        <v>350</v>
      </c>
      <c r="G424" s="7" t="n">
        <v>25</v>
      </c>
      <c r="H424" s="22" t="n">
        <v>12</v>
      </c>
      <c r="I424" s="7" t="s">
        <v>445</v>
      </c>
      <c r="J424" s="7" t="s">
        <v>352</v>
      </c>
      <c r="K424" s="7" t="s">
        <v>353</v>
      </c>
      <c r="L424" s="7" t="s">
        <v>146</v>
      </c>
      <c r="M424" s="7" t="n">
        <v>5</v>
      </c>
      <c r="N424" s="7"/>
      <c r="O424" s="7"/>
      <c r="P424" s="7" t="s">
        <v>147</v>
      </c>
    </row>
    <row r="425" customFormat="false" ht="23.85" hidden="false" customHeight="false" outlineLevel="0" collapsed="false">
      <c r="A425" s="7" t="n">
        <v>35</v>
      </c>
      <c r="B425" s="21" t="n">
        <v>46550</v>
      </c>
      <c r="C425" s="7" t="s">
        <v>167</v>
      </c>
      <c r="D425" s="7" t="s">
        <v>116</v>
      </c>
      <c r="E425" s="12" t="s">
        <v>181</v>
      </c>
      <c r="F425" s="12" t="s">
        <v>181</v>
      </c>
      <c r="G425" s="7" t="n">
        <v>0</v>
      </c>
      <c r="H425" s="22"/>
      <c r="I425" s="7" t="s">
        <v>446</v>
      </c>
      <c r="J425" s="7" t="s">
        <v>71</v>
      </c>
      <c r="K425" s="7" t="s">
        <v>71</v>
      </c>
      <c r="L425" s="7"/>
      <c r="M425" s="7" t="n">
        <v>0</v>
      </c>
      <c r="N425" s="7"/>
      <c r="O425" s="7"/>
      <c r="P425" s="7"/>
    </row>
    <row r="426" customFormat="false" ht="46.25" hidden="false" customHeight="false" outlineLevel="0" collapsed="false">
      <c r="A426" s="25" t="n">
        <v>35</v>
      </c>
      <c r="B426" s="26" t="n">
        <v>46551</v>
      </c>
      <c r="C426" s="25" t="s">
        <v>172</v>
      </c>
      <c r="D426" s="25" t="s">
        <v>116</v>
      </c>
      <c r="E426" s="27" t="s">
        <v>357</v>
      </c>
      <c r="F426" s="27" t="s">
        <v>447</v>
      </c>
      <c r="G426" s="25" t="n">
        <v>735</v>
      </c>
      <c r="H426" s="28" t="n">
        <v>226</v>
      </c>
      <c r="I426" s="25" t="s">
        <v>448</v>
      </c>
      <c r="J426" s="25" t="s">
        <v>449</v>
      </c>
      <c r="K426" s="25" t="s">
        <v>361</v>
      </c>
      <c r="L426" s="25" t="s">
        <v>450</v>
      </c>
      <c r="M426" s="25" t="n">
        <v>0</v>
      </c>
      <c r="N426" s="25"/>
      <c r="O426" s="25"/>
      <c r="P426" s="25" t="s">
        <v>357</v>
      </c>
    </row>
  </sheetData>
  <autoFilter ref="A1:P426"/>
  <conditionalFormatting sqref="A2:P426">
    <cfRule type="expression" priority="2" aboveAverage="0" equalAverage="0" bottom="0" percent="0" rank="0" text="" dxfId="10">
      <formula>$N2="✓"</formula>
    </cfRule>
  </conditionalFormatting>
  <dataValidations count="1">
    <dataValidation allowBlank="true" errorStyle="stop" operator="between" showDropDown="false" showErrorMessage="false" showInputMessage="false" sqref="N2:N426" type="list">
      <formula1>"✓,Partial,Missed"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30"/>
    <col collapsed="false" customWidth="true" hidden="false" outlineLevel="0" max="6" min="6" style="0" width="10"/>
  </cols>
  <sheetData>
    <row r="1" customFormat="false" ht="19.7" hidden="false" customHeight="false" outlineLevel="0" collapsed="false">
      <c r="A1" s="1" t="s">
        <v>451</v>
      </c>
    </row>
    <row r="2" customFormat="false" ht="15" hidden="false" customHeight="false" outlineLevel="0" collapsed="false">
      <c r="A2" s="29" t="s">
        <v>452</v>
      </c>
    </row>
    <row r="4" customFormat="false" ht="15" hidden="false" customHeight="false" outlineLevel="0" collapsed="false">
      <c r="A4" s="30" t="s">
        <v>453</v>
      </c>
      <c r="B4" s="31" t="n">
        <v>242</v>
      </c>
      <c r="C4" s="32" t="s">
        <v>454</v>
      </c>
    </row>
    <row r="5" customFormat="false" ht="15" hidden="false" customHeight="false" outlineLevel="0" collapsed="false">
      <c r="A5" s="30" t="s">
        <v>455</v>
      </c>
      <c r="B5" s="31" t="n">
        <v>161</v>
      </c>
      <c r="C5" s="32" t="s">
        <v>456</v>
      </c>
    </row>
    <row r="6" customFormat="false" ht="15" hidden="false" customHeight="false" outlineLevel="0" collapsed="false">
      <c r="A6" s="30" t="s">
        <v>457</v>
      </c>
      <c r="B6" s="31" t="n">
        <v>175</v>
      </c>
    </row>
    <row r="7" customFormat="false" ht="15" hidden="false" customHeight="false" outlineLevel="0" collapsed="false">
      <c r="A7" s="30" t="s">
        <v>458</v>
      </c>
      <c r="B7" s="31" t="n">
        <v>167</v>
      </c>
    </row>
    <row r="8" customFormat="false" ht="15" hidden="false" customHeight="false" outlineLevel="0" collapsed="false">
      <c r="A8" s="30" t="s">
        <v>459</v>
      </c>
      <c r="B8" s="31" t="n">
        <v>184</v>
      </c>
    </row>
    <row r="9" customFormat="false" ht="15" hidden="false" customHeight="false" outlineLevel="0" collapsed="false">
      <c r="A9" s="30" t="s">
        <v>460</v>
      </c>
      <c r="B9" s="31" t="n">
        <v>152</v>
      </c>
    </row>
    <row r="10" customFormat="false" ht="15" hidden="false" customHeight="false" outlineLevel="0" collapsed="false">
      <c r="A10" s="30" t="s">
        <v>461</v>
      </c>
      <c r="B10" s="31" t="n">
        <v>168</v>
      </c>
    </row>
    <row r="11" customFormat="false" ht="15" hidden="false" customHeight="false" outlineLevel="0" collapsed="false">
      <c r="A11" s="30" t="s">
        <v>462</v>
      </c>
      <c r="B11" s="31" t="n">
        <v>94</v>
      </c>
      <c r="C11" s="32" t="s">
        <v>463</v>
      </c>
    </row>
    <row r="13" customFormat="false" ht="15" hidden="false" customHeight="false" outlineLevel="0" collapsed="false">
      <c r="A13" s="3" t="s">
        <v>464</v>
      </c>
    </row>
    <row r="14" customFormat="false" ht="15" hidden="false" customHeight="false" outlineLevel="0" collapsed="false">
      <c r="A14" s="33" t="s">
        <v>465</v>
      </c>
      <c r="B14" s="33" t="s">
        <v>466</v>
      </c>
      <c r="C14" s="33" t="s">
        <v>467</v>
      </c>
      <c r="D14" s="33" t="s">
        <v>468</v>
      </c>
      <c r="E14" s="33" t="s">
        <v>469</v>
      </c>
      <c r="F14" s="33" t="s">
        <v>129</v>
      </c>
    </row>
    <row r="15" customFormat="false" ht="15" hidden="false" customHeight="false" outlineLevel="0" collapsed="false">
      <c r="A15" s="34" t="s">
        <v>470</v>
      </c>
      <c r="B15" s="34" t="n">
        <v>0</v>
      </c>
      <c r="C15" s="34" t="n">
        <f aca="false">ROUND($B$4*0.55,0)</f>
        <v>133</v>
      </c>
      <c r="D15" s="34" t="str">
        <f aca="false">"&lt; "&amp;ROUND($B$5*0.81,0)</f>
        <v>&lt; 130</v>
      </c>
      <c r="E15" s="34" t="s">
        <v>471</v>
      </c>
      <c r="F15" s="34" t="s">
        <v>176</v>
      </c>
    </row>
    <row r="16" customFormat="false" ht="15" hidden="false" customHeight="false" outlineLevel="0" collapsed="false">
      <c r="A16" s="34" t="s">
        <v>472</v>
      </c>
      <c r="B16" s="34" t="n">
        <f aca="false">ROUND($B$4*0.56,0)</f>
        <v>136</v>
      </c>
      <c r="C16" s="34" t="n">
        <f aca="false">ROUND($B$4*0.75,0)</f>
        <v>182</v>
      </c>
      <c r="D16" s="34" t="str">
        <f aca="false">ROUND($B$5*0.81,0)&amp;"–"&amp;ROUND($B$5*0.89,0)</f>
        <v>130–143</v>
      </c>
      <c r="E16" s="34" t="s">
        <v>473</v>
      </c>
      <c r="F16" s="34" t="s">
        <v>139</v>
      </c>
    </row>
    <row r="17" customFormat="false" ht="15" hidden="false" customHeight="false" outlineLevel="0" collapsed="false">
      <c r="A17" s="34" t="s">
        <v>474</v>
      </c>
      <c r="B17" s="34" t="n">
        <f aca="false">ROUND($B$4*0.7,0)</f>
        <v>169</v>
      </c>
      <c r="C17" s="34" t="n">
        <f aca="false">ROUND($B$4*0.75,0)</f>
        <v>182</v>
      </c>
      <c r="D17" s="34" t="str">
        <f aca="false">"≤ "&amp;ROUND($B$5*0.9,0)</f>
        <v>≤ 145</v>
      </c>
      <c r="E17" s="34" t="s">
        <v>475</v>
      </c>
      <c r="F17" s="34" t="s">
        <v>245</v>
      </c>
    </row>
    <row r="18" customFormat="false" ht="15" hidden="false" customHeight="false" outlineLevel="0" collapsed="false">
      <c r="A18" s="34" t="s">
        <v>476</v>
      </c>
      <c r="B18" s="34" t="n">
        <f aca="false">ROUND($B$4*0.76,0)</f>
        <v>184</v>
      </c>
      <c r="C18" s="34" t="n">
        <f aca="false">ROUND($B$4*0.9,0)</f>
        <v>218</v>
      </c>
      <c r="D18" s="34" t="str">
        <f aca="false">ROUND($B$5*0.9,0)&amp;"–"&amp;ROUND($B$5*0.93,0)</f>
        <v>145–150</v>
      </c>
      <c r="E18" s="34" t="s">
        <v>477</v>
      </c>
      <c r="F18" s="34" t="s">
        <v>348</v>
      </c>
    </row>
    <row r="19" customFormat="false" ht="15" hidden="false" customHeight="false" outlineLevel="0" collapsed="false">
      <c r="A19" s="34" t="s">
        <v>478</v>
      </c>
      <c r="B19" s="34" t="n">
        <f aca="false">ROUND($B$4*0.91,0)</f>
        <v>220</v>
      </c>
      <c r="C19" s="34" t="n">
        <f aca="false">ROUND($B$4*1.05,0)</f>
        <v>254</v>
      </c>
      <c r="D19" s="34" t="str">
        <f aca="false">ROUND($B$5*0.94,0)&amp;"–"&amp;ROUND($B$5*0.99,0)</f>
        <v>151–159</v>
      </c>
      <c r="E19" s="34" t="s">
        <v>479</v>
      </c>
      <c r="F19" s="34" t="s">
        <v>152</v>
      </c>
    </row>
    <row r="20" customFormat="false" ht="15" hidden="false" customHeight="false" outlineLevel="0" collapsed="false">
      <c r="A20" s="34" t="s">
        <v>480</v>
      </c>
      <c r="B20" s="34" t="n">
        <f aca="false">ROUND($B$4*1.06,0)</f>
        <v>257</v>
      </c>
      <c r="C20" s="34" t="n">
        <f aca="false">ROUND($B$4*1.2,0)</f>
        <v>290</v>
      </c>
      <c r="D20" s="34" t="str">
        <f aca="false">"≥ "&amp;ROUND($B$5*1,0)</f>
        <v>≥ 161</v>
      </c>
      <c r="E20" s="34" t="s">
        <v>481</v>
      </c>
      <c r="F20" s="34" t="s">
        <v>145</v>
      </c>
    </row>
    <row r="22" customFormat="false" ht="15" hidden="false" customHeight="false" outlineLevel="0" collapsed="false">
      <c r="A22" s="3" t="s">
        <v>482</v>
      </c>
    </row>
    <row r="23" customFormat="false" ht="15" hidden="false" customHeight="false" outlineLevel="0" collapsed="false">
      <c r="A23" s="33" t="s">
        <v>465</v>
      </c>
      <c r="B23" s="33" t="s">
        <v>483</v>
      </c>
      <c r="C23" s="33" t="s">
        <v>484</v>
      </c>
      <c r="D23" s="33" t="s">
        <v>485</v>
      </c>
      <c r="E23" s="33" t="s">
        <v>469</v>
      </c>
      <c r="F23" s="33" t="s">
        <v>129</v>
      </c>
    </row>
    <row r="24" customFormat="false" ht="15" hidden="false" customHeight="false" outlineLevel="0" collapsed="false">
      <c r="A24" s="34" t="s">
        <v>470</v>
      </c>
      <c r="B24" s="34"/>
      <c r="C24" s="34" t="n">
        <f aca="false">ROUND($B$7*0.85,0)-1</f>
        <v>141</v>
      </c>
      <c r="D24" s="34" t="s">
        <v>486</v>
      </c>
      <c r="E24" s="34" t="s">
        <v>487</v>
      </c>
      <c r="F24" s="34" t="s">
        <v>188</v>
      </c>
    </row>
    <row r="25" customFormat="false" ht="15" hidden="false" customHeight="false" outlineLevel="0" collapsed="false">
      <c r="A25" s="34" t="s">
        <v>488</v>
      </c>
      <c r="B25" s="34" t="n">
        <f aca="false">ROUND($B$7*0.85,0)</f>
        <v>142</v>
      </c>
      <c r="C25" s="34" t="n">
        <f aca="false">ROUND($B$7*0.89,0)</f>
        <v>149</v>
      </c>
      <c r="D25" s="34" t="s">
        <v>489</v>
      </c>
      <c r="E25" s="34" t="s">
        <v>490</v>
      </c>
      <c r="F25" s="34" t="s">
        <v>139</v>
      </c>
    </row>
    <row r="26" customFormat="false" ht="15" hidden="false" customHeight="false" outlineLevel="0" collapsed="false">
      <c r="A26" s="34" t="s">
        <v>476</v>
      </c>
      <c r="B26" s="34" t="n">
        <f aca="false">ROUND($B$7*0.9,0)</f>
        <v>150</v>
      </c>
      <c r="C26" s="34" t="n">
        <f aca="false">ROUND($B$7*0.94,0)</f>
        <v>157</v>
      </c>
      <c r="D26" s="34" t="s">
        <v>491</v>
      </c>
      <c r="E26" s="34" t="s">
        <v>492</v>
      </c>
      <c r="F26" s="34" t="s">
        <v>348</v>
      </c>
    </row>
    <row r="27" customFormat="false" ht="15" hidden="false" customHeight="false" outlineLevel="0" collapsed="false">
      <c r="A27" s="34" t="s">
        <v>478</v>
      </c>
      <c r="B27" s="34" t="n">
        <f aca="false">ROUND($B$7*0.95,0)</f>
        <v>159</v>
      </c>
      <c r="C27" s="34" t="n">
        <f aca="false">ROUND($B$7*0.99,0)</f>
        <v>165</v>
      </c>
      <c r="D27" s="34" t="s">
        <v>493</v>
      </c>
      <c r="E27" s="34" t="s">
        <v>494</v>
      </c>
      <c r="F27" s="34" t="s">
        <v>299</v>
      </c>
    </row>
    <row r="28" customFormat="false" ht="15" hidden="false" customHeight="false" outlineLevel="0" collapsed="false">
      <c r="A28" s="34" t="s">
        <v>495</v>
      </c>
      <c r="B28" s="34" t="n">
        <f aca="false">$B$7</f>
        <v>167</v>
      </c>
      <c r="C28" s="34" t="n">
        <f aca="false">$B$8</f>
        <v>184</v>
      </c>
      <c r="D28" s="34" t="s">
        <v>496</v>
      </c>
      <c r="E28" s="34" t="s">
        <v>497</v>
      </c>
      <c r="F28" s="34" t="s">
        <v>145</v>
      </c>
    </row>
    <row r="30" customFormat="false" ht="15" hidden="false" customHeight="false" outlineLevel="0" collapsed="false">
      <c r="A30" s="3" t="s">
        <v>498</v>
      </c>
    </row>
    <row r="31" customFormat="false" ht="15" hidden="false" customHeight="false" outlineLevel="0" collapsed="false">
      <c r="A31" s="33" t="s">
        <v>465</v>
      </c>
      <c r="B31" s="33" t="s">
        <v>499</v>
      </c>
      <c r="C31" s="33" t="s">
        <v>500</v>
      </c>
      <c r="D31" s="33" t="s">
        <v>501</v>
      </c>
      <c r="E31" s="33" t="s">
        <v>469</v>
      </c>
      <c r="F31" s="33" t="s">
        <v>129</v>
      </c>
    </row>
    <row r="32" customFormat="false" ht="15" hidden="false" customHeight="false" outlineLevel="0" collapsed="false">
      <c r="A32" s="34" t="s">
        <v>470</v>
      </c>
      <c r="B32" s="34" t="str">
        <f aca="false">INT(($B$11+18)/60)&amp;":"&amp;TEXT(MOD($B$11+18,60),"00")</f>
        <v>1:52</v>
      </c>
      <c r="C32" s="34" t="s">
        <v>71</v>
      </c>
      <c r="D32" s="34" t="str">
        <f aca="false">"&lt; "&amp;ROUND($B$9*0.85,0)</f>
        <v>&lt; 129</v>
      </c>
      <c r="E32" s="34" t="s">
        <v>502</v>
      </c>
      <c r="F32" s="34" t="s">
        <v>217</v>
      </c>
    </row>
    <row r="33" customFormat="false" ht="15" hidden="false" customHeight="false" outlineLevel="0" collapsed="false">
      <c r="A33" s="34" t="s">
        <v>503</v>
      </c>
      <c r="B33" s="34" t="str">
        <f aca="false">INT(($B$11+8)/60)&amp;":"&amp;TEXT(MOD($B$11+8,60),"00")</f>
        <v>1:42</v>
      </c>
      <c r="C33" s="34" t="str">
        <f aca="false">INT(($B$11+14)/60)&amp;":"&amp;TEXT(MOD($B$11+14,60),"00")</f>
        <v>1:48</v>
      </c>
      <c r="D33" s="34" t="str">
        <f aca="false">ROUND($B$9*0.85,0)&amp;"–"&amp;ROUND($B$9*0.89,0)</f>
        <v>129–135</v>
      </c>
      <c r="E33" s="34" t="s">
        <v>504</v>
      </c>
      <c r="F33" s="34" t="s">
        <v>139</v>
      </c>
    </row>
    <row r="34" customFormat="false" ht="15" hidden="false" customHeight="false" outlineLevel="0" collapsed="false">
      <c r="A34" s="34" t="s">
        <v>505</v>
      </c>
      <c r="B34" s="34" t="str">
        <f aca="false">INT(($B$11+3)/60)&amp;":"&amp;TEXT(MOD($B$11+3,60),"00")</f>
        <v>1:37</v>
      </c>
      <c r="C34" s="34" t="str">
        <f aca="false">INT(($B$11+7)/60)&amp;":"&amp;TEXT(MOD($B$11+7,60),"00")</f>
        <v>1:41</v>
      </c>
      <c r="D34" s="34" t="str">
        <f aca="false">ROUND($B$9*0.9,0)&amp;"–"&amp;ROUND($B$9*0.94,0)</f>
        <v>137–143</v>
      </c>
      <c r="E34" s="34" t="s">
        <v>506</v>
      </c>
      <c r="F34" s="34" t="s">
        <v>348</v>
      </c>
    </row>
    <row r="35" customFormat="false" ht="15" hidden="false" customHeight="false" outlineLevel="0" collapsed="false">
      <c r="A35" s="34" t="s">
        <v>507</v>
      </c>
      <c r="B35" s="34" t="str">
        <f aca="false">INT(($B$11-2)/60)&amp;":"&amp;TEXT(MOD($B$11-2,60),"00")</f>
        <v>1:32</v>
      </c>
      <c r="C35" s="34" t="str">
        <f aca="false">INT(($B$11+2)/60)&amp;":"&amp;TEXT(MOD($B$11+2,60),"00")</f>
        <v>1:36</v>
      </c>
      <c r="D35" s="34" t="str">
        <f aca="false">ROUND($B$9*0.95,0)&amp;"–"&amp;ROUND($B$9*0.99,0)</f>
        <v>144–150</v>
      </c>
      <c r="E35" s="34" t="s">
        <v>508</v>
      </c>
      <c r="F35" s="34" t="s">
        <v>299</v>
      </c>
    </row>
    <row r="36" customFormat="false" ht="15" hidden="false" customHeight="false" outlineLevel="0" collapsed="false">
      <c r="A36" s="34" t="s">
        <v>509</v>
      </c>
      <c r="B36" s="34" t="s">
        <v>71</v>
      </c>
      <c r="C36" s="34" t="str">
        <f aca="false">INT(($B$11-4)/60)&amp;":"&amp;TEXT(MOD($B$11-4,60),"00")</f>
        <v>1:30</v>
      </c>
      <c r="D36" s="34" t="str">
        <f aca="false">"≥ "&amp;$B$9</f>
        <v>≥ 152</v>
      </c>
      <c r="E36" s="34" t="s">
        <v>510</v>
      </c>
      <c r="F36" s="34"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16"/>
    <col collapsed="false" customWidth="true" hidden="false" outlineLevel="0" max="6" min="6" style="0" width="44"/>
    <col collapsed="false" customWidth="true" hidden="false" outlineLevel="0" max="7" min="7" style="0" width="4"/>
  </cols>
  <sheetData>
    <row r="1" customFormat="false" ht="19.7" hidden="false" customHeight="false" outlineLevel="0" collapsed="false">
      <c r="A1" s="1" t="s">
        <v>511</v>
      </c>
    </row>
    <row r="2" customFormat="false" ht="15" hidden="false" customHeight="false" outlineLevel="0" collapsed="false">
      <c r="A2" s="29" t="s">
        <v>512</v>
      </c>
    </row>
    <row r="4" customFormat="false" ht="15" hidden="false" customHeight="false" outlineLevel="0" collapsed="false">
      <c r="A4" s="6" t="s">
        <v>513</v>
      </c>
      <c r="B4" s="6" t="s">
        <v>121</v>
      </c>
      <c r="C4" s="6" t="s">
        <v>514</v>
      </c>
      <c r="D4" s="6" t="s">
        <v>515</v>
      </c>
      <c r="E4" s="6" t="s">
        <v>516</v>
      </c>
      <c r="F4" s="6" t="s">
        <v>133</v>
      </c>
    </row>
    <row r="5" customFormat="false" ht="15" hidden="false" customHeight="false" outlineLevel="0" collapsed="false">
      <c r="A5" s="35" t="s">
        <v>517</v>
      </c>
      <c r="B5" s="34" t="s">
        <v>518</v>
      </c>
      <c r="C5" s="34" t="n">
        <v>242</v>
      </c>
      <c r="D5" s="31" t="n">
        <v>242</v>
      </c>
      <c r="E5" s="35" t="str">
        <f aca="false">IF(D5="","—",IF(D5&gt;=C5,"On track",IF(D5&gt;=C5-5,"Close","Behind")))</f>
        <v>On track</v>
      </c>
      <c r="F5" s="34" t="s">
        <v>519</v>
      </c>
    </row>
    <row r="6" customFormat="false" ht="15" hidden="false" customHeight="false" outlineLevel="0" collapsed="false">
      <c r="A6" s="35" t="s">
        <v>520</v>
      </c>
      <c r="B6" s="34" t="s">
        <v>521</v>
      </c>
      <c r="C6" s="34" t="n">
        <v>252</v>
      </c>
      <c r="D6" s="31"/>
      <c r="E6" s="35" t="str">
        <f aca="false">IF(D6="","—",IF(D6&gt;=C6,"On track",IF(D6&gt;=C6-5,"Close","Behind")))</f>
        <v>—</v>
      </c>
      <c r="F6" s="34" t="s">
        <v>522</v>
      </c>
    </row>
    <row r="7" customFormat="false" ht="15" hidden="false" customHeight="false" outlineLevel="0" collapsed="false">
      <c r="A7" s="35" t="s">
        <v>523</v>
      </c>
      <c r="B7" s="34" t="s">
        <v>524</v>
      </c>
      <c r="C7" s="34" t="n">
        <v>260</v>
      </c>
      <c r="D7" s="31"/>
      <c r="E7" s="35" t="str">
        <f aca="false">IF(D7="","—",IF(D7&gt;=C7,"On track",IF(D7&gt;=C7-5,"Close","Behind")))</f>
        <v>—</v>
      </c>
      <c r="F7" s="34" t="s">
        <v>525</v>
      </c>
    </row>
    <row r="8" customFormat="false" ht="15" hidden="false" customHeight="false" outlineLevel="0" collapsed="false">
      <c r="A8" s="35" t="s">
        <v>526</v>
      </c>
      <c r="B8" s="34" t="s">
        <v>527</v>
      </c>
      <c r="C8" s="34" t="n">
        <v>268</v>
      </c>
      <c r="D8" s="31"/>
      <c r="E8" s="35" t="str">
        <f aca="false">IF(D8="","—",IF(D8&gt;=C8,"On track",IF(D8&gt;=C8-5,"Close","Behind")))</f>
        <v>—</v>
      </c>
      <c r="F8" s="34" t="s">
        <v>528</v>
      </c>
    </row>
    <row r="9" customFormat="false" ht="15" hidden="false" customHeight="false" outlineLevel="0" collapsed="false">
      <c r="A9" s="35" t="s">
        <v>529</v>
      </c>
      <c r="B9" s="34" t="s">
        <v>530</v>
      </c>
      <c r="C9" s="34" t="n">
        <v>268</v>
      </c>
      <c r="D9" s="31"/>
      <c r="E9" s="35" t="str">
        <f aca="false">IF(D9="","—",IF(D9&gt;=C9,"On track",IF(D9&gt;=C9-5,"Close","Behind")))</f>
        <v>—</v>
      </c>
      <c r="F9" s="34" t="s">
        <v>531</v>
      </c>
    </row>
    <row r="11" customFormat="false" ht="15" hidden="false" customHeight="false" outlineLevel="0" collapsed="false">
      <c r="A11" s="3" t="s">
        <v>532</v>
      </c>
    </row>
    <row r="12" customFormat="false" ht="15" hidden="false" customHeight="false" outlineLevel="0" collapsed="false">
      <c r="A12" s="30" t="s">
        <v>533</v>
      </c>
      <c r="B12" s="36" t="n">
        <f aca="false">IFERROR(LOOKUP(2,1/(D5:D9&lt;&gt;""),D5:D9),242)</f>
        <v>242</v>
      </c>
    </row>
    <row r="13" customFormat="false" ht="15" hidden="false" customHeight="false" outlineLevel="0" collapsed="false">
      <c r="A13" s="30" t="s">
        <v>534</v>
      </c>
      <c r="B13" s="36" t="n">
        <f aca="false">ROUND(B12*0.7,0)</f>
        <v>169</v>
      </c>
      <c r="C13" s="36" t="n">
        <f aca="false">ROUND(B12*0.75,0)</f>
        <v>182</v>
      </c>
    </row>
    <row r="14" customFormat="false" ht="15" hidden="false" customHeight="false" outlineLevel="0" collapsed="false">
      <c r="A14" s="30" t="s">
        <v>535</v>
      </c>
      <c r="B14" s="36" t="n">
        <f aca="false">ROUND(C13/80,2)</f>
        <v>2.28</v>
      </c>
      <c r="C14" s="36"/>
    </row>
    <row r="16" customFormat="false" ht="15" hidden="false" customHeight="false" outlineLevel="0" collapsed="false">
      <c r="A16" s="3" t="s">
        <v>536</v>
      </c>
    </row>
    <row r="17" customFormat="false" ht="15" hidden="false" customHeight="false" outlineLevel="0" collapsed="false">
      <c r="A17" s="6" t="s">
        <v>537</v>
      </c>
      <c r="B17" s="6" t="s">
        <v>538</v>
      </c>
      <c r="C17" s="6" t="s">
        <v>539</v>
      </c>
      <c r="D17" s="6"/>
      <c r="E17" s="6"/>
      <c r="F17" s="6" t="s">
        <v>540</v>
      </c>
    </row>
    <row r="18" customFormat="false" ht="15" hidden="false" customHeight="false" outlineLevel="0" collapsed="false">
      <c r="A18" s="34" t="s">
        <v>541</v>
      </c>
      <c r="B18" s="34" t="s">
        <v>542</v>
      </c>
      <c r="C18" s="34" t="s">
        <v>543</v>
      </c>
      <c r="D18" s="34"/>
      <c r="E18" s="34"/>
      <c r="F18" s="34" t="s">
        <v>544</v>
      </c>
    </row>
    <row r="19" customFormat="false" ht="15" hidden="false" customHeight="false" outlineLevel="0" collapsed="false">
      <c r="A19" s="34" t="s">
        <v>545</v>
      </c>
      <c r="B19" s="34" t="s">
        <v>546</v>
      </c>
      <c r="C19" s="34" t="s">
        <v>547</v>
      </c>
      <c r="D19" s="34"/>
      <c r="E19" s="34"/>
      <c r="F19" s="34" t="s">
        <v>548</v>
      </c>
    </row>
    <row r="20" customFormat="false" ht="15" hidden="false" customHeight="false" outlineLevel="0" collapsed="false">
      <c r="A20" s="34" t="s">
        <v>549</v>
      </c>
      <c r="B20" s="34" t="s">
        <v>550</v>
      </c>
      <c r="C20" s="34" t="s">
        <v>551</v>
      </c>
      <c r="D20" s="34"/>
      <c r="E20" s="34"/>
      <c r="F20" s="34" t="s">
        <v>552</v>
      </c>
    </row>
    <row r="21" customFormat="false" ht="15" hidden="false" customHeight="false" outlineLevel="0" collapsed="false">
      <c r="A21" s="34" t="s">
        <v>553</v>
      </c>
      <c r="B21" s="34" t="s">
        <v>554</v>
      </c>
      <c r="C21" s="34" t="s">
        <v>555</v>
      </c>
      <c r="D21" s="34"/>
      <c r="E21" s="34"/>
      <c r="F21" s="34" t="s">
        <v>556</v>
      </c>
    </row>
    <row r="22" customFormat="false" ht="15" hidden="false" customHeight="false" outlineLevel="0" collapsed="false">
      <c r="A22" s="35" t="s">
        <v>557</v>
      </c>
      <c r="B22" s="35" t="s">
        <v>558</v>
      </c>
      <c r="C22" s="35" t="s">
        <v>559</v>
      </c>
      <c r="D22" s="35"/>
      <c r="E22" s="35"/>
      <c r="F22" s="35"/>
    </row>
    <row r="24" customFormat="false" ht="15" hidden="false" customHeight="false" outlineLevel="0" collapsed="false">
      <c r="A24" s="3" t="s">
        <v>560</v>
      </c>
    </row>
    <row r="25" customFormat="false" ht="15" hidden="false" customHeight="false" outlineLevel="0" collapsed="false">
      <c r="A25" s="36" t="s">
        <v>561</v>
      </c>
    </row>
    <row r="26" customFormat="false" ht="15" hidden="false" customHeight="false" outlineLevel="0" collapsed="false">
      <c r="A26" s="36" t="s">
        <v>562</v>
      </c>
    </row>
    <row r="27" customFormat="false" ht="15" hidden="false" customHeight="false" outlineLevel="0" collapsed="false">
      <c r="A27" s="36" t="s">
        <v>563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90"/>
    <col collapsed="false" customWidth="true" hidden="false" outlineLevel="0" max="4" min="4" style="0" width="45"/>
  </cols>
  <sheetData>
    <row r="1" customFormat="false" ht="15" hidden="false" customHeight="false" outlineLevel="0" collapsed="false">
      <c r="A1" s="6" t="s">
        <v>564</v>
      </c>
      <c r="B1" s="6" t="s">
        <v>124</v>
      </c>
      <c r="C1" s="6" t="s">
        <v>565</v>
      </c>
      <c r="D1" s="6" t="s">
        <v>566</v>
      </c>
    </row>
    <row r="2" customFormat="false" ht="35.05" hidden="false" customHeight="false" outlineLevel="0" collapsed="false">
      <c r="A2" s="7" t="s">
        <v>567</v>
      </c>
      <c r="B2" s="7" t="s">
        <v>568</v>
      </c>
      <c r="C2" s="7" t="s">
        <v>569</v>
      </c>
      <c r="D2" s="7" t="s">
        <v>570</v>
      </c>
    </row>
    <row r="3" customFormat="false" ht="23.85" hidden="false" customHeight="false" outlineLevel="0" collapsed="false">
      <c r="A3" s="7" t="s">
        <v>567</v>
      </c>
      <c r="B3" s="7" t="s">
        <v>571</v>
      </c>
      <c r="C3" s="7" t="s">
        <v>572</v>
      </c>
      <c r="D3" s="7" t="s">
        <v>573</v>
      </c>
    </row>
    <row r="4" customFormat="false" ht="23.85" hidden="false" customHeight="false" outlineLevel="0" collapsed="false">
      <c r="A4" s="7" t="s">
        <v>574</v>
      </c>
      <c r="B4" s="7" t="s">
        <v>568</v>
      </c>
      <c r="C4" s="7" t="s">
        <v>575</v>
      </c>
      <c r="D4" s="7" t="s">
        <v>576</v>
      </c>
    </row>
    <row r="5" customFormat="false" ht="23.85" hidden="false" customHeight="false" outlineLevel="0" collapsed="false">
      <c r="A5" s="7" t="s">
        <v>574</v>
      </c>
      <c r="B5" s="7" t="s">
        <v>577</v>
      </c>
      <c r="C5" s="7" t="s">
        <v>578</v>
      </c>
      <c r="D5" s="7" t="s">
        <v>579</v>
      </c>
    </row>
    <row r="6" customFormat="false" ht="23.85" hidden="false" customHeight="false" outlineLevel="0" collapsed="false">
      <c r="A6" s="7" t="s">
        <v>580</v>
      </c>
      <c r="B6" s="7" t="s">
        <v>568</v>
      </c>
      <c r="C6" s="7" t="s">
        <v>581</v>
      </c>
      <c r="D6" s="7" t="s">
        <v>582</v>
      </c>
    </row>
    <row r="7" customFormat="false" ht="15" hidden="false" customHeight="false" outlineLevel="0" collapsed="false">
      <c r="A7" s="7" t="s">
        <v>580</v>
      </c>
      <c r="B7" s="7" t="s">
        <v>577</v>
      </c>
      <c r="C7" s="7" t="s">
        <v>583</v>
      </c>
      <c r="D7" s="7" t="s">
        <v>584</v>
      </c>
    </row>
    <row r="8" customFormat="false" ht="15" hidden="false" customHeight="false" outlineLevel="0" collapsed="false">
      <c r="A8" s="7" t="s">
        <v>585</v>
      </c>
      <c r="B8" s="7" t="s">
        <v>586</v>
      </c>
      <c r="C8" s="7" t="s">
        <v>587</v>
      </c>
      <c r="D8" s="7" t="s">
        <v>588</v>
      </c>
    </row>
    <row r="9" customFormat="false" ht="15" hidden="false" customHeight="false" outlineLevel="0" collapsed="false">
      <c r="A9" s="7" t="s">
        <v>589</v>
      </c>
      <c r="B9" s="7" t="s">
        <v>590</v>
      </c>
      <c r="C9" s="7" t="s">
        <v>591</v>
      </c>
      <c r="D9" s="7"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9.7" hidden="false" customHeight="false" outlineLevel="0" collapsed="false">
      <c r="A1" s="1" t="s">
        <v>593</v>
      </c>
    </row>
    <row r="3" customFormat="false" ht="15" hidden="false" customHeight="false" outlineLevel="0" collapsed="false">
      <c r="A3" s="3" t="s">
        <v>594</v>
      </c>
    </row>
    <row r="4" customFormat="false" ht="23.85" hidden="false" customHeight="false" outlineLevel="0" collapsed="false">
      <c r="A4" s="4" t="s">
        <v>541</v>
      </c>
      <c r="B4" s="5" t="s">
        <v>595</v>
      </c>
    </row>
    <row r="5" customFormat="false" ht="35.05" hidden="false" customHeight="false" outlineLevel="0" collapsed="false">
      <c r="A5" s="4" t="s">
        <v>549</v>
      </c>
      <c r="B5" s="5" t="s">
        <v>596</v>
      </c>
    </row>
    <row r="6" customFormat="false" ht="23.85" hidden="false" customHeight="false" outlineLevel="0" collapsed="false">
      <c r="A6" s="4" t="s">
        <v>553</v>
      </c>
      <c r="B6" s="5" t="s">
        <v>597</v>
      </c>
    </row>
    <row r="7" customFormat="false" ht="23.85" hidden="false" customHeight="false" outlineLevel="0" collapsed="false">
      <c r="A7" s="4" t="s">
        <v>598</v>
      </c>
      <c r="B7" s="5" t="s">
        <v>599</v>
      </c>
    </row>
    <row r="8" customFormat="false" ht="23.85" hidden="false" customHeight="false" outlineLevel="0" collapsed="false">
      <c r="A8" s="4" t="s">
        <v>539</v>
      </c>
      <c r="B8" s="5" t="s">
        <v>600</v>
      </c>
    </row>
    <row r="9" customFormat="false" ht="15" hidden="false" customHeight="false" outlineLevel="0" collapsed="false">
      <c r="A9" s="4" t="s">
        <v>601</v>
      </c>
      <c r="B9" s="5" t="s">
        <v>602</v>
      </c>
    </row>
    <row r="11" customFormat="false" ht="15" hidden="false" customHeight="false" outlineLevel="0" collapsed="false">
      <c r="A11" s="3" t="s">
        <v>603</v>
      </c>
    </row>
    <row r="12" customFormat="false" ht="15" hidden="false" customHeight="false" outlineLevel="0" collapsed="false">
      <c r="A12" s="4" t="s">
        <v>604</v>
      </c>
      <c r="B12" s="5" t="s">
        <v>605</v>
      </c>
    </row>
    <row r="13" customFormat="false" ht="15" hidden="false" customHeight="false" outlineLevel="0" collapsed="false">
      <c r="A13" s="4" t="s">
        <v>606</v>
      </c>
      <c r="B13" s="5" t="s">
        <v>607</v>
      </c>
    </row>
    <row r="15" customFormat="false" ht="15" hidden="false" customHeight="false" outlineLevel="0" collapsed="false">
      <c r="A15" s="3" t="s">
        <v>608</v>
      </c>
    </row>
    <row r="16" customFormat="false" ht="15" hidden="false" customHeight="false" outlineLevel="0" collapsed="false">
      <c r="A16" s="4" t="s">
        <v>604</v>
      </c>
      <c r="B16" s="5" t="s">
        <v>609</v>
      </c>
    </row>
    <row r="17" customFormat="false" ht="15" hidden="false" customHeight="false" outlineLevel="0" collapsed="false">
      <c r="A17" s="4" t="s">
        <v>606</v>
      </c>
      <c r="B17" s="5" t="s">
        <v>610</v>
      </c>
    </row>
    <row r="18" customFormat="false" ht="15" hidden="false" customHeight="false" outlineLevel="0" collapsed="false">
      <c r="A18" s="4" t="s">
        <v>611</v>
      </c>
      <c r="B18" s="5"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2026-10-24T05:17:01Z</dcterms:created>
  <dc:creator>openpyxl</dc:creator>
  <dc:description/>
  <dc:language>en-US</dc:language>
  <cp:lastModifiedBy/>
  <dcterms:modified xsi:type="dcterms:W3CDTF">2026-10-24T15:17:04Z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